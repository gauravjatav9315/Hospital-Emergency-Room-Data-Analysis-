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visha\OneDrive\Desktop\Gaurav_Excel\ExcelHospitalProject\"/>
    </mc:Choice>
  </mc:AlternateContent>
  <xr:revisionPtr revIDLastSave="0" documentId="13_ncr:1_{D3C59DB9-88DF-4075-B0E0-0EBA97288A7A}" xr6:coauthVersionLast="47" xr6:coauthVersionMax="47" xr10:uidLastSave="{00000000-0000-0000-0000-000000000000}"/>
  <bookViews>
    <workbookView xWindow="-120" yWindow="-120" windowWidth="20730" windowHeight="11040" firstSheet="1" activeTab="2" xr2:uid="{160F4D9B-FEEB-4BD1-9910-58EB0C44806F}"/>
  </bookViews>
  <sheets>
    <sheet name="Pivot Report" sheetId="1" r:id="rId1"/>
    <sheet name="Dashboard" sheetId="2" r:id="rId2"/>
    <sheet name="Daily Trend No. of Patient" sheetId="4" r:id="rId3"/>
    <sheet name="Daily Trend Average Wait Time" sheetId="5" r:id="rId4"/>
    <sheet name="Daily Trend Satisfaction Score" sheetId="6" r:id="rId5"/>
  </sheets>
  <definedNames>
    <definedName name="Slicer_Date__Month">#N/A</definedName>
    <definedName name="Slicer_Date__Year">#N/A</definedName>
  </definedNames>
  <calcPr calcId="191029"/>
  <pivotCaches>
    <pivotCache cacheId="888" r:id="rId6"/>
    <pivotCache cacheId="889" r:id="rId7"/>
    <pivotCache cacheId="890" r:id="rId8"/>
    <pivotCache cacheId="891" r:id="rId9"/>
    <pivotCache cacheId="892" r:id="rId10"/>
    <pivotCache cacheId="893" r:id="rId11"/>
    <pivotCache cacheId="894" r:id="rId12"/>
    <pivotCache cacheId="895" r:id="rId13"/>
    <pivotCache cacheId="896" r:id="rId14"/>
    <pivotCache cacheId="897" r:id="rId15"/>
    <pivotCache cacheId="898" r:id="rId16"/>
    <pivotCache cacheId="899" r:id="rId17"/>
  </pivotCaches>
  <extLst>
    <ext xmlns:x14="http://schemas.microsoft.com/office/spreadsheetml/2009/9/main" uri="{876F7934-8845-4945-9796-88D515C7AA90}">
      <x14:pivotCaches>
        <pivotCache cacheId="900"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33455045-3d3d-4bc3-8b9c-a97417f31606" name="Hospital Emergency Room Data" connection="Query - Hospital Emergency Room Data"/>
          <x15:modelTable id="Calendar_Table_5d1ec1d6-051f-44a2-a890-684f598fcbd9"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 l="1"/>
  <c r="C39" i="1"/>
  <c r="B38" i="1"/>
  <c r="C38" i="1"/>
  <c r="A38" i="1"/>
  <c r="A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017098-A5AA-4600-A923-DDFBAE6487CA}" name="Query - Calendar_Table" description="Connection to the 'Calendar_Table' query in the workbook." type="100" refreshedVersion="8" minRefreshableVersion="5">
    <extLst>
      <ext xmlns:x15="http://schemas.microsoft.com/office/spreadsheetml/2010/11/main" uri="{DE250136-89BD-433C-8126-D09CA5730AF9}">
        <x15:connection id="51f72a30-e716-4d08-9380-b124bf44e1f2"/>
      </ext>
    </extLst>
  </connection>
  <connection id="2" xr16:uid="{62F8A6E7-8D7F-4773-81D6-0ADFC00C705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240b8c9-6349-4e61-acd2-01b864703825"/>
      </ext>
    </extLst>
  </connection>
  <connection id="3" xr16:uid="{387FC12B-7C25-4BEA-BD8B-39DFC482C6A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<sst xmlns="http://schemas.openxmlformats.org/spreadsheetml/2006/main" count="157" uniqueCount="74">
  <si>
    <t>Count of Patient Id</t>
  </si>
  <si>
    <t>Distinct Count of Patient Id</t>
  </si>
  <si>
    <t>Number of Patient</t>
  </si>
  <si>
    <t>Average of Patient Waittime</t>
  </si>
  <si>
    <t>Average of Patient Satisfaction Score</t>
  </si>
  <si>
    <t>Row Labels</t>
  </si>
  <si>
    <t>Grand Total</t>
  </si>
  <si>
    <t>Daily trend of No. of Patient</t>
  </si>
  <si>
    <t>Average WaitTime</t>
  </si>
  <si>
    <t>Show a daily trend with an Area Chart to spot patterns like busy or seasonal trends</t>
  </si>
  <si>
    <t>Use an Area Chart to track daily changes and highlights day with longer wait times that might need improvement</t>
  </si>
  <si>
    <t>Satisfaction Score</t>
  </si>
  <si>
    <t>Use an Area Chart trend, spot drops in satisfaction and link them to challenges</t>
  </si>
  <si>
    <t>Count of Patient Admission Flag</t>
  </si>
  <si>
    <t>Admitted</t>
  </si>
  <si>
    <t>Not Admitted</t>
  </si>
  <si>
    <t>Count of Patient Admission Flag2</t>
  </si>
  <si>
    <t xml:space="preserve">Admission Status </t>
  </si>
  <si>
    <t>No. of Patient</t>
  </si>
  <si>
    <t>% of Total</t>
  </si>
  <si>
    <t>Count of Age Group</t>
  </si>
  <si>
    <t>0-09</t>
  </si>
  <si>
    <t>10-19</t>
  </si>
  <si>
    <t>20-29</t>
  </si>
  <si>
    <t>30-39</t>
  </si>
  <si>
    <t>40-49</t>
  </si>
  <si>
    <t>50-59</t>
  </si>
  <si>
    <t>60-69</t>
  </si>
  <si>
    <t>70-79</t>
  </si>
  <si>
    <t>Delay</t>
  </si>
  <si>
    <t>OnTime</t>
  </si>
  <si>
    <t>Female</t>
  </si>
  <si>
    <t>Male</t>
  </si>
  <si>
    <t>Cardiology</t>
  </si>
  <si>
    <t>Gastroenterology</t>
  </si>
  <si>
    <t>General Practice</t>
  </si>
  <si>
    <t>Neurology</t>
  </si>
  <si>
    <t>None</t>
  </si>
  <si>
    <t>Orthopedics</t>
  </si>
  <si>
    <t>Physiotherapy</t>
  </si>
  <si>
    <t>Renal</t>
  </si>
  <si>
    <t>Count of Department Referral</t>
  </si>
  <si>
    <t>vu</t>
  </si>
  <si>
    <t>u</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</si>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</sst>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Aptos Narrow"/>
      <family val="2"/>
      <scheme val="minor"/>
    </font>
    <font>
      <b/>
      <i/>
      <u/>
      <sz val="18"/>
      <color rgb="FFFFC000"/>
      <name val="Aptos Narrow"/>
      <family val="2"/>
      <scheme val="minor"/>
    </font>
    <font>
      <b/>
      <sz val="10"/>
      <color theme="1"/>
      <name val="Aptos Narrow"/>
      <family val="2"/>
      <scheme val="minor"/>
    </font>
    <font>
      <sz val="10"/>
      <color theme="1"/>
      <name val="Aptos Narrow"/>
      <family val="2"/>
      <scheme val="minor"/>
    </font>
    <font>
      <b/>
      <i/>
      <u/>
      <sz val="16"/>
      <color rgb="FFFFC000"/>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4"/>
        <bgColor indexed="64"/>
      </patternFill>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0" fontId="1" fillId="3" borderId="0" xfId="0" applyFont="1" applyFill="1"/>
    <xf numFmtId="0" fontId="0" fillId="4" borderId="0" xfId="0" applyFill="1" applyAlignment="1">
      <alignment vertical="center"/>
    </xf>
    <xf numFmtId="0" fontId="2" fillId="4" borderId="0" xfId="0" applyFont="1" applyFill="1" applyAlignment="1">
      <alignment horizontal="center" vertical="center"/>
    </xf>
    <xf numFmtId="0" fontId="3" fillId="4" borderId="0" xfId="0" applyFont="1" applyFill="1" applyAlignment="1">
      <alignment horizontal="center" vertical="center"/>
    </xf>
    <xf numFmtId="10" fontId="3" fillId="4" borderId="0" xfId="0" applyNumberFormat="1" applyFont="1" applyFill="1" applyAlignment="1">
      <alignment horizontal="center" vertical="center"/>
    </xf>
    <xf numFmtId="0" fontId="0" fillId="0" borderId="1" xfId="0" applyBorder="1"/>
    <xf numFmtId="0" fontId="0" fillId="0" borderId="2" xfId="0" applyBorder="1"/>
    <xf numFmtId="0" fontId="0" fillId="0" borderId="3" xfId="0" applyBorder="1"/>
    <xf numFmtId="2" fontId="0" fillId="0" borderId="4" xfId="0" applyNumberFormat="1" applyBorder="1"/>
    <xf numFmtId="2" fontId="0" fillId="0" borderId="5" xfId="0" applyNumberFormat="1" applyBorder="1"/>
    <xf numFmtId="2" fontId="0" fillId="0" borderId="6" xfId="0" applyNumberFormat="1" applyBorder="1"/>
    <xf numFmtId="2" fontId="0" fillId="0" borderId="7" xfId="0" applyNumberFormat="1" applyBorder="1"/>
    <xf numFmtId="2" fontId="0" fillId="0" borderId="8" xfId="0" applyNumberFormat="1" applyBorder="1"/>
    <xf numFmtId="2" fontId="0" fillId="0" borderId="9" xfId="0" applyNumberFormat="1" applyBorder="1"/>
    <xf numFmtId="0" fontId="0" fillId="3" borderId="0" xfId="0" quotePrefix="1" applyFill="1"/>
    <xf numFmtId="0" fontId="4" fillId="3" borderId="0" xfId="0" applyFont="1" applyFill="1"/>
  </cellXfs>
  <cellStyles count="1">
    <cellStyle name="Normal" xfId="0" builtinId="0"/>
  </cellStyles>
  <dxfs count="24">
    <dxf>
      <numFmt numFmtId="14" formatCode="0.00%"/>
    </dxf>
    <dxf>
      <numFmt numFmtId="1" formatCode="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font>
        <b/>
        <color theme="1"/>
      </font>
      <border>
        <bottom style="thin">
          <color theme="5"/>
        </bottom>
        <vertical/>
        <horizontal/>
      </border>
    </dxf>
    <dxf>
      <font>
        <sz val="10"/>
        <color theme="1"/>
      </font>
      <fill>
        <patternFill>
          <bgColor theme="0"/>
        </patternFill>
      </fill>
      <border diagonalUp="0" diagonalDown="0">
        <left/>
        <right/>
        <top/>
        <bottom/>
        <vertical/>
        <horizontal/>
      </border>
    </dxf>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style" pivot="0" table="0" count="10" xr9:uid="{AC6D5976-28A7-4789-AE74-06E49624A75F}">
      <tableStyleElement type="wholeTable" dxfId="23"/>
      <tableStyleElement type="headerRow" dxfId="22"/>
    </tableStyle>
    <tableStyle name="SlicerStyleDark2 2" pivot="0" table="0" count="10" xr9:uid="{A99986E2-3242-4AC8-A79F-3AC21DBAD223}">
      <tableStyleElement type="wholeTable" dxfId="21"/>
      <tableStyleElement type="headerRow" dxfId="20"/>
    </tableStyle>
  </tableStyles>
  <extLst>
    <ext xmlns:x14="http://schemas.microsoft.com/office/spreadsheetml/2009/9/main" uri="{46F421CA-312F-682f-3DD2-61675219B42D}">
      <x14:dxfs count="16">
        <dxf>
          <font>
            <color rgb="FF000000"/>
          </font>
          <fill>
            <patternFill patternType="solid">
              <fgColor auto="1"/>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Report!PivotTable9</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30800998088588E-2"/>
          <c:y val="3.4855263157894736E-2"/>
          <c:w val="0.87527269250503414"/>
          <c:h val="0.85967836257309937"/>
        </c:manualLayout>
      </c:layout>
      <c:barChart>
        <c:barDir val="bar"/>
        <c:grouping val="clustered"/>
        <c:varyColors val="0"/>
        <c:ser>
          <c:idx val="0"/>
          <c:order val="0"/>
          <c:tx>
            <c:strRef>
              <c:f>'Pivot Report'!$B$13</c:f>
              <c:strCache>
                <c:ptCount val="1"/>
                <c:pt idx="0">
                  <c:v>Count of Patient Admission Flag</c:v>
                </c:pt>
              </c:strCache>
            </c:strRef>
          </c:tx>
          <c:spPr>
            <a:solidFill>
              <a:schemeClr val="accent1"/>
            </a:solidFill>
            <a:ln>
              <a:noFill/>
            </a:ln>
            <a:effectLst/>
          </c:spPr>
          <c:invertIfNegative val="0"/>
          <c:cat>
            <c:strRef>
              <c:f>'Pivot Report'!$A$14:$A$16</c:f>
              <c:strCache>
                <c:ptCount val="2"/>
                <c:pt idx="0">
                  <c:v>Admitted</c:v>
                </c:pt>
                <c:pt idx="1">
                  <c:v>Not Admitted</c:v>
                </c:pt>
              </c:strCache>
            </c:strRef>
          </c:cat>
          <c:val>
            <c:numRef>
              <c:f>'Pivot Report'!$B$14:$B$16</c:f>
              <c:numCache>
                <c:formatCode>0</c:formatCode>
                <c:ptCount val="2"/>
                <c:pt idx="0">
                  <c:v>237</c:v>
                </c:pt>
                <c:pt idx="1">
                  <c:v>242</c:v>
                </c:pt>
              </c:numCache>
            </c:numRef>
          </c:val>
          <c:extLst>
            <c:ext xmlns:c16="http://schemas.microsoft.com/office/drawing/2014/chart" uri="{C3380CC4-5D6E-409C-BE32-E72D297353CC}">
              <c16:uniqueId val="{00000005-D4D6-445D-8C75-55BCE79E721B}"/>
            </c:ext>
          </c:extLst>
        </c:ser>
        <c:ser>
          <c:idx val="1"/>
          <c:order val="1"/>
          <c:tx>
            <c:strRef>
              <c:f>'Pivot Report'!$C$13</c:f>
              <c:strCache>
                <c:ptCount val="1"/>
                <c:pt idx="0">
                  <c:v>Count of Patient Admission Flag2</c:v>
                </c:pt>
              </c:strCache>
            </c:strRef>
          </c:tx>
          <c:spPr>
            <a:solidFill>
              <a:schemeClr val="accent2"/>
            </a:solidFill>
            <a:ln>
              <a:noFill/>
            </a:ln>
            <a:effectLst/>
          </c:spPr>
          <c:invertIfNegative val="0"/>
          <c:cat>
            <c:strRef>
              <c:f>'Pivot Report'!$A$14:$A$16</c:f>
              <c:strCache>
                <c:ptCount val="2"/>
                <c:pt idx="0">
                  <c:v>Admitted</c:v>
                </c:pt>
                <c:pt idx="1">
                  <c:v>Not Admitted</c:v>
                </c:pt>
              </c:strCache>
            </c:strRef>
          </c:cat>
          <c:val>
            <c:numRef>
              <c:f>'Pivot Report'!$C$14:$C$16</c:f>
              <c:numCache>
                <c:formatCode>0.00%</c:formatCode>
                <c:ptCount val="2"/>
                <c:pt idx="0">
                  <c:v>0.49478079331941544</c:v>
                </c:pt>
                <c:pt idx="1">
                  <c:v>0.50521920668058451</c:v>
                </c:pt>
              </c:numCache>
            </c:numRef>
          </c:val>
          <c:extLst>
            <c:ext xmlns:c16="http://schemas.microsoft.com/office/drawing/2014/chart" uri="{C3380CC4-5D6E-409C-BE32-E72D297353CC}">
              <c16:uniqueId val="{00000006-D4D6-445D-8C75-55BCE79E721B}"/>
            </c:ext>
          </c:extLst>
        </c:ser>
        <c:dLbls>
          <c:showLegendKey val="0"/>
          <c:showVal val="0"/>
          <c:showCatName val="0"/>
          <c:showSerName val="0"/>
          <c:showPercent val="0"/>
          <c:showBubbleSize val="0"/>
        </c:dLbls>
        <c:gapWidth val="0"/>
        <c:axId val="497953167"/>
        <c:axId val="497960367"/>
      </c:barChart>
      <c:catAx>
        <c:axId val="497953167"/>
        <c:scaling>
          <c:orientation val="minMax"/>
        </c:scaling>
        <c:delete val="1"/>
        <c:axPos val="l"/>
        <c:numFmt formatCode="General" sourceLinked="1"/>
        <c:majorTickMark val="none"/>
        <c:minorTickMark val="none"/>
        <c:tickLblPos val="nextTo"/>
        <c:crossAx val="497960367"/>
        <c:crosses val="autoZero"/>
        <c:auto val="1"/>
        <c:lblAlgn val="ctr"/>
        <c:lblOffset val="100"/>
        <c:noMultiLvlLbl val="0"/>
      </c:catAx>
      <c:valAx>
        <c:axId val="497960367"/>
        <c:scaling>
          <c:orientation val="minMax"/>
        </c:scaling>
        <c:delete val="1"/>
        <c:axPos val="b"/>
        <c:numFmt formatCode="0" sourceLinked="1"/>
        <c:majorTickMark val="none"/>
        <c:minorTickMark val="none"/>
        <c:tickLblPos val="nextTo"/>
        <c:crossAx val="49795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0.15704300184251829"/>
          <c:w val="0.94370393700787403"/>
          <c:h val="0.75335845267457613"/>
        </c:manualLayout>
      </c:layout>
      <c:areaChart>
        <c:grouping val="standard"/>
        <c:varyColors val="0"/>
        <c:ser>
          <c:idx val="0"/>
          <c:order val="0"/>
          <c:tx>
            <c:strRef>
              <c:f>'Pivot Report'!$E$4</c:f>
              <c:strCache>
                <c:ptCount val="1"/>
                <c:pt idx="0">
                  <c:v>Total</c:v>
                </c:pt>
              </c:strCache>
            </c:strRef>
          </c:tx>
          <c:spPr>
            <a:solidFill>
              <a:schemeClr val="accent1"/>
            </a:solidFill>
            <a:ln>
              <a:noFill/>
            </a:ln>
            <a:effectLst/>
          </c:spPr>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31</c:v>
                </c:pt>
                <c:pt idx="1">
                  <c:v>32</c:v>
                </c:pt>
                <c:pt idx="2">
                  <c:v>31</c:v>
                </c:pt>
                <c:pt idx="3">
                  <c:v>29</c:v>
                </c:pt>
                <c:pt idx="4">
                  <c:v>34</c:v>
                </c:pt>
                <c:pt idx="5">
                  <c:v>31</c:v>
                </c:pt>
                <c:pt idx="6">
                  <c:v>27</c:v>
                </c:pt>
                <c:pt idx="7">
                  <c:v>32</c:v>
                </c:pt>
                <c:pt idx="8">
                  <c:v>27</c:v>
                </c:pt>
                <c:pt idx="9">
                  <c:v>27</c:v>
                </c:pt>
                <c:pt idx="10">
                  <c:v>33</c:v>
                </c:pt>
                <c:pt idx="11">
                  <c:v>42</c:v>
                </c:pt>
                <c:pt idx="12">
                  <c:v>25</c:v>
                </c:pt>
                <c:pt idx="13">
                  <c:v>34</c:v>
                </c:pt>
                <c:pt idx="14">
                  <c:v>32</c:v>
                </c:pt>
                <c:pt idx="15">
                  <c:v>34</c:v>
                </c:pt>
                <c:pt idx="16">
                  <c:v>26</c:v>
                </c:pt>
                <c:pt idx="17">
                  <c:v>36</c:v>
                </c:pt>
                <c:pt idx="18">
                  <c:v>31</c:v>
                </c:pt>
                <c:pt idx="19">
                  <c:v>32</c:v>
                </c:pt>
                <c:pt idx="20">
                  <c:v>33</c:v>
                </c:pt>
                <c:pt idx="21">
                  <c:v>39</c:v>
                </c:pt>
                <c:pt idx="22">
                  <c:v>27</c:v>
                </c:pt>
                <c:pt idx="23">
                  <c:v>32</c:v>
                </c:pt>
                <c:pt idx="24">
                  <c:v>33</c:v>
                </c:pt>
                <c:pt idx="25">
                  <c:v>34</c:v>
                </c:pt>
                <c:pt idx="26">
                  <c:v>35</c:v>
                </c:pt>
                <c:pt idx="27">
                  <c:v>32</c:v>
                </c:pt>
                <c:pt idx="28">
                  <c:v>27</c:v>
                </c:pt>
                <c:pt idx="29">
                  <c:v>30</c:v>
                </c:pt>
              </c:numCache>
            </c:numRef>
          </c:val>
          <c:extLst>
            <c:ext xmlns:c16="http://schemas.microsoft.com/office/drawing/2014/chart" uri="{C3380CC4-5D6E-409C-BE32-E72D297353CC}">
              <c16:uniqueId val="{00000000-D1A8-4A30-B333-FE9BE6033D5B}"/>
            </c:ext>
          </c:extLst>
        </c:ser>
        <c:dLbls>
          <c:showLegendKey val="0"/>
          <c:showVal val="0"/>
          <c:showCatName val="0"/>
          <c:showSerName val="0"/>
          <c:showPercent val="0"/>
          <c:showBubbleSize val="0"/>
        </c:dLbls>
        <c:axId val="1987370640"/>
        <c:axId val="1536010224"/>
      </c:areaChart>
      <c:catAx>
        <c:axId val="1987370640"/>
        <c:scaling>
          <c:orientation val="minMax"/>
        </c:scaling>
        <c:delete val="1"/>
        <c:axPos val="b"/>
        <c:numFmt formatCode="General" sourceLinked="1"/>
        <c:majorTickMark val="out"/>
        <c:minorTickMark val="none"/>
        <c:tickLblPos val="nextTo"/>
        <c:crossAx val="1536010224"/>
        <c:crosses val="autoZero"/>
        <c:auto val="1"/>
        <c:lblAlgn val="ctr"/>
        <c:lblOffset val="100"/>
        <c:noMultiLvlLbl val="0"/>
      </c:catAx>
      <c:valAx>
        <c:axId val="1536010224"/>
        <c:scaling>
          <c:orientation val="minMax"/>
        </c:scaling>
        <c:delete val="1"/>
        <c:axPos val="l"/>
        <c:numFmt formatCode="General" sourceLinked="1"/>
        <c:majorTickMark val="none"/>
        <c:minorTickMark val="none"/>
        <c:tickLblPos val="nextTo"/>
        <c:crossAx val="1987370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615605276845008E-2"/>
          <c:y val="0"/>
          <c:w val="0.89849856570050746"/>
          <c:h val="0.76460914502738919"/>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3-2053-411C-B2D1-B4B816BBFAC0}"/>
            </c:ext>
          </c:extLst>
        </c:ser>
        <c:dLbls>
          <c:showLegendKey val="0"/>
          <c:showVal val="0"/>
          <c:showCatName val="0"/>
          <c:showSerName val="0"/>
          <c:showPercent val="0"/>
          <c:showBubbleSize val="0"/>
        </c:dLbls>
        <c:axId val="1959560976"/>
        <c:axId val="1959561456"/>
      </c:areaChart>
      <c:catAx>
        <c:axId val="1959560976"/>
        <c:scaling>
          <c:orientation val="minMax"/>
        </c:scaling>
        <c:delete val="1"/>
        <c:axPos val="b"/>
        <c:numFmt formatCode="General" sourceLinked="1"/>
        <c:majorTickMark val="out"/>
        <c:minorTickMark val="none"/>
        <c:tickLblPos val="nextTo"/>
        <c:crossAx val="1959561456"/>
        <c:crosses val="autoZero"/>
        <c:auto val="1"/>
        <c:lblAlgn val="ctr"/>
        <c:lblOffset val="100"/>
        <c:noMultiLvlLbl val="0"/>
      </c:catAx>
      <c:valAx>
        <c:axId val="1959561456"/>
        <c:scaling>
          <c:orientation val="minMax"/>
        </c:scaling>
        <c:delete val="1"/>
        <c:axPos val="l"/>
        <c:numFmt formatCode="0.00" sourceLinked="1"/>
        <c:majorTickMark val="none"/>
        <c:minorTickMark val="none"/>
        <c:tickLblPos val="nextTo"/>
        <c:crossAx val="1959560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Report!PivotTable8</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773114845479609E-2"/>
          <c:y val="8.1272587171197619E-2"/>
          <c:w val="0.95789568957714666"/>
          <c:h val="0.91872741282880244"/>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Report'!$L$5:$L$35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3-A92B-4F18-A335-2683CC45D874}"/>
            </c:ext>
          </c:extLst>
        </c:ser>
        <c:dLbls>
          <c:showLegendKey val="0"/>
          <c:showVal val="0"/>
          <c:showCatName val="0"/>
          <c:showSerName val="0"/>
          <c:showPercent val="0"/>
          <c:showBubbleSize val="0"/>
        </c:dLbls>
        <c:axId val="245737967"/>
        <c:axId val="245750927"/>
      </c:areaChart>
      <c:catAx>
        <c:axId val="245737967"/>
        <c:scaling>
          <c:orientation val="minMax"/>
        </c:scaling>
        <c:delete val="1"/>
        <c:axPos val="b"/>
        <c:numFmt formatCode="General" sourceLinked="1"/>
        <c:majorTickMark val="out"/>
        <c:minorTickMark val="none"/>
        <c:tickLblPos val="nextTo"/>
        <c:crossAx val="245750927"/>
        <c:crosses val="autoZero"/>
        <c:auto val="1"/>
        <c:lblAlgn val="ctr"/>
        <c:lblOffset val="100"/>
        <c:noMultiLvlLbl val="0"/>
      </c:catAx>
      <c:valAx>
        <c:axId val="245750927"/>
        <c:scaling>
          <c:orientation val="minMax"/>
        </c:scaling>
        <c:delete val="1"/>
        <c:axPos val="l"/>
        <c:numFmt formatCode="0.00" sourceLinked="1"/>
        <c:majorTickMark val="none"/>
        <c:minorTickMark val="none"/>
        <c:tickLblPos val="nextTo"/>
        <c:crossAx val="245737967"/>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19091538155438E-2"/>
          <c:y val="4.0625006664207132E-2"/>
          <c:w val="0.93153799861605802"/>
          <c:h val="0.80361953303339506"/>
        </c:manualLayout>
      </c:layout>
      <c:barChart>
        <c:barDir val="col"/>
        <c:grouping val="clustered"/>
        <c:varyColors val="0"/>
        <c:ser>
          <c:idx val="0"/>
          <c:order val="0"/>
          <c:tx>
            <c:strRef>
              <c:f>'Pivot Report'!$B$41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Report'!$A$42:$A$50</c:f>
              <c:strCache>
                <c:ptCount val="8"/>
                <c:pt idx="0">
                  <c:v>0-09</c:v>
                </c:pt>
                <c:pt idx="1">
                  <c:v>10-19</c:v>
                </c:pt>
                <c:pt idx="2">
                  <c:v>20-29</c:v>
                </c:pt>
                <c:pt idx="3">
                  <c:v>30-39</c:v>
                </c:pt>
                <c:pt idx="4">
                  <c:v>40-49</c:v>
                </c:pt>
                <c:pt idx="5">
                  <c:v>50-59</c:v>
                </c:pt>
                <c:pt idx="6">
                  <c:v>60-69</c:v>
                </c:pt>
                <c:pt idx="7">
                  <c:v>70-79</c:v>
                </c:pt>
              </c:strCache>
            </c:strRef>
          </c:cat>
          <c:val>
            <c:numRef>
              <c:f>'Pivot Report'!$B$42:$B$50</c:f>
              <c:numCache>
                <c:formatCode>0</c:formatCode>
                <c:ptCount val="8"/>
                <c:pt idx="0">
                  <c:v>58</c:v>
                </c:pt>
                <c:pt idx="1">
                  <c:v>75</c:v>
                </c:pt>
                <c:pt idx="2">
                  <c:v>61</c:v>
                </c:pt>
                <c:pt idx="3">
                  <c:v>60</c:v>
                </c:pt>
                <c:pt idx="4">
                  <c:v>43</c:v>
                </c:pt>
                <c:pt idx="5">
                  <c:v>54</c:v>
                </c:pt>
                <c:pt idx="6">
                  <c:v>66</c:v>
                </c:pt>
                <c:pt idx="7">
                  <c:v>62</c:v>
                </c:pt>
              </c:numCache>
            </c:numRef>
          </c:val>
          <c:extLst>
            <c:ext xmlns:c16="http://schemas.microsoft.com/office/drawing/2014/chart" uri="{C3380CC4-5D6E-409C-BE32-E72D297353CC}">
              <c16:uniqueId val="{00000003-9EC7-4C59-BCC2-6918E329D5D7}"/>
            </c:ext>
          </c:extLst>
        </c:ser>
        <c:dLbls>
          <c:showLegendKey val="0"/>
          <c:showVal val="0"/>
          <c:showCatName val="0"/>
          <c:showSerName val="0"/>
          <c:showPercent val="0"/>
          <c:showBubbleSize val="0"/>
        </c:dLbls>
        <c:gapWidth val="219"/>
        <c:overlap val="-27"/>
        <c:axId val="165991519"/>
        <c:axId val="166002559"/>
      </c:barChart>
      <c:catAx>
        <c:axId val="16599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6002559"/>
        <c:crosses val="autoZero"/>
        <c:auto val="1"/>
        <c:lblAlgn val="ctr"/>
        <c:lblOffset val="100"/>
        <c:noMultiLvlLbl val="0"/>
      </c:catAx>
      <c:valAx>
        <c:axId val="166002559"/>
        <c:scaling>
          <c:orientation val="minMax"/>
        </c:scaling>
        <c:delete val="1"/>
        <c:axPos val="l"/>
        <c:numFmt formatCode="0" sourceLinked="1"/>
        <c:majorTickMark val="none"/>
        <c:minorTickMark val="none"/>
        <c:tickLblPos val="nextTo"/>
        <c:crossAx val="16599151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Report!PivotTable11</c:name>
    <c:fmtId val="32"/>
  </c:pivotSource>
  <c:chart>
    <c:autoTitleDeleted val="1"/>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2055361134493155"/>
          <c:y val="0.11698341537473662"/>
          <c:w val="0.78772006240339265"/>
          <c:h val="0.78396897548116729"/>
        </c:manualLayout>
      </c:layout>
      <c:pieChart>
        <c:varyColors val="1"/>
        <c:ser>
          <c:idx val="0"/>
          <c:order val="0"/>
          <c:tx>
            <c:strRef>
              <c:f>'Pivot Report'!$B$52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948-4CDF-89C2-64C8757A0CA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948-4CDF-89C2-64C8757A0C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Report'!$A$53:$A$55</c:f>
              <c:strCache>
                <c:ptCount val="2"/>
                <c:pt idx="0">
                  <c:v>Delay</c:v>
                </c:pt>
                <c:pt idx="1">
                  <c:v>OnTime</c:v>
                </c:pt>
              </c:strCache>
            </c:strRef>
          </c:cat>
          <c:val>
            <c:numRef>
              <c:f>'Pivot Report'!$B$53:$B$55</c:f>
              <c:numCache>
                <c:formatCode>0.00</c:formatCode>
                <c:ptCount val="2"/>
                <c:pt idx="0">
                  <c:v>273</c:v>
                </c:pt>
                <c:pt idx="1">
                  <c:v>206</c:v>
                </c:pt>
              </c:numCache>
            </c:numRef>
          </c:val>
          <c:extLst>
            <c:ext xmlns:c16="http://schemas.microsoft.com/office/drawing/2014/chart" uri="{C3380CC4-5D6E-409C-BE32-E72D297353CC}">
              <c16:uniqueId val="{00000007-A413-4B50-A271-F05A747A0FD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1.6436788898566892E-2"/>
          <c:y val="4.3911129003204553E-3"/>
          <c:w val="0.96977054501544668"/>
          <c:h val="0.144507999838458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Report!PivotTable13</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9.673975152237442E-2"/>
          <c:y val="0.10328506301069272"/>
          <c:w val="0.79923007852676609"/>
          <c:h val="0.85223912088279385"/>
        </c:manualLayout>
      </c:layout>
      <c:doughnutChart>
        <c:varyColors val="1"/>
        <c:ser>
          <c:idx val="0"/>
          <c:order val="0"/>
          <c:tx>
            <c:strRef>
              <c:f>'Pivot Report'!$B$57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AF8-45D4-B32A-873B1BE1D6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AF8-45D4-B32A-873B1BE1D6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Report'!$A$58:$A$60</c:f>
              <c:strCache>
                <c:ptCount val="2"/>
                <c:pt idx="0">
                  <c:v>Female</c:v>
                </c:pt>
                <c:pt idx="1">
                  <c:v>Male</c:v>
                </c:pt>
              </c:strCache>
            </c:strRef>
          </c:cat>
          <c:val>
            <c:numRef>
              <c:f>'Pivot Report'!$B$58:$B$60</c:f>
              <c:numCache>
                <c:formatCode>0</c:formatCode>
                <c:ptCount val="2"/>
                <c:pt idx="0">
                  <c:v>235</c:v>
                </c:pt>
                <c:pt idx="1">
                  <c:v>244</c:v>
                </c:pt>
              </c:numCache>
            </c:numRef>
          </c:val>
          <c:extLst>
            <c:ext xmlns:c16="http://schemas.microsoft.com/office/drawing/2014/chart" uri="{C3380CC4-5D6E-409C-BE32-E72D297353CC}">
              <c16:uniqueId val="{00000007-5F85-4133-A497-E2BAE4D3DD5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Entry>
      <c:layout>
        <c:manualLayout>
          <c:xMode val="edge"/>
          <c:yMode val="edge"/>
          <c:x val="1.6586942680358513E-2"/>
          <c:y val="3.3584722399819258E-2"/>
          <c:w val="0.9562191567071322"/>
          <c:h val="0.114285564696789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Report!PivotTable14</c:name>
    <c:fmtId val="4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26819234401481"/>
          <c:y val="2.8230189409010988E-2"/>
          <c:w val="0.68551695364752452"/>
          <c:h val="0.91530943177296709"/>
        </c:manualLayout>
      </c:layout>
      <c:barChart>
        <c:barDir val="bar"/>
        <c:grouping val="clustered"/>
        <c:varyColors val="0"/>
        <c:ser>
          <c:idx val="0"/>
          <c:order val="0"/>
          <c:tx>
            <c:strRef>
              <c:f>'Pivot Report'!$B$62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Report'!$A$63:$A$71</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Report'!$B$63:$B$71</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3-4D56-4D27-8A1B-BAF6119E303C}"/>
            </c:ext>
          </c:extLst>
        </c:ser>
        <c:dLbls>
          <c:showLegendKey val="0"/>
          <c:showVal val="0"/>
          <c:showCatName val="0"/>
          <c:showSerName val="0"/>
          <c:showPercent val="0"/>
          <c:showBubbleSize val="0"/>
        </c:dLbls>
        <c:gapWidth val="20"/>
        <c:axId val="180984895"/>
        <c:axId val="180984415"/>
      </c:barChart>
      <c:catAx>
        <c:axId val="18098489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0984415"/>
        <c:crosses val="autoZero"/>
        <c:auto val="1"/>
        <c:lblAlgn val="ctr"/>
        <c:lblOffset val="100"/>
        <c:noMultiLvlLbl val="0"/>
      </c:catAx>
      <c:valAx>
        <c:axId val="180984415"/>
        <c:scaling>
          <c:orientation val="minMax"/>
        </c:scaling>
        <c:delete val="1"/>
        <c:axPos val="b"/>
        <c:numFmt formatCode="0" sourceLinked="1"/>
        <c:majorTickMark val="none"/>
        <c:minorTickMark val="none"/>
        <c:tickLblPos val="nextTo"/>
        <c:crossAx val="18098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471593609853885E-2"/>
          <c:y val="0.21302846317103449"/>
          <c:w val="0.98677657480314962"/>
          <c:h val="0.62745875097866743"/>
        </c:manualLayout>
      </c:layout>
      <c:areaChart>
        <c:grouping val="standard"/>
        <c:varyColors val="0"/>
        <c:ser>
          <c:idx val="0"/>
          <c:order val="0"/>
          <c:tx>
            <c:strRef>
              <c:f>'Pivot 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31</c:v>
                </c:pt>
                <c:pt idx="1">
                  <c:v>32</c:v>
                </c:pt>
                <c:pt idx="2">
                  <c:v>31</c:v>
                </c:pt>
                <c:pt idx="3">
                  <c:v>29</c:v>
                </c:pt>
                <c:pt idx="4">
                  <c:v>34</c:v>
                </c:pt>
                <c:pt idx="5">
                  <c:v>31</c:v>
                </c:pt>
                <c:pt idx="6">
                  <c:v>27</c:v>
                </c:pt>
                <c:pt idx="7">
                  <c:v>32</c:v>
                </c:pt>
                <c:pt idx="8">
                  <c:v>27</c:v>
                </c:pt>
                <c:pt idx="9">
                  <c:v>27</c:v>
                </c:pt>
                <c:pt idx="10">
                  <c:v>33</c:v>
                </c:pt>
                <c:pt idx="11">
                  <c:v>42</c:v>
                </c:pt>
                <c:pt idx="12">
                  <c:v>25</c:v>
                </c:pt>
                <c:pt idx="13">
                  <c:v>34</c:v>
                </c:pt>
                <c:pt idx="14">
                  <c:v>32</c:v>
                </c:pt>
                <c:pt idx="15">
                  <c:v>34</c:v>
                </c:pt>
                <c:pt idx="16">
                  <c:v>26</c:v>
                </c:pt>
                <c:pt idx="17">
                  <c:v>36</c:v>
                </c:pt>
                <c:pt idx="18">
                  <c:v>31</c:v>
                </c:pt>
                <c:pt idx="19">
                  <c:v>32</c:v>
                </c:pt>
                <c:pt idx="20">
                  <c:v>33</c:v>
                </c:pt>
                <c:pt idx="21">
                  <c:v>39</c:v>
                </c:pt>
                <c:pt idx="22">
                  <c:v>27</c:v>
                </c:pt>
                <c:pt idx="23">
                  <c:v>32</c:v>
                </c:pt>
                <c:pt idx="24">
                  <c:v>33</c:v>
                </c:pt>
                <c:pt idx="25">
                  <c:v>34</c:v>
                </c:pt>
                <c:pt idx="26">
                  <c:v>35</c:v>
                </c:pt>
                <c:pt idx="27">
                  <c:v>32</c:v>
                </c:pt>
                <c:pt idx="28">
                  <c:v>27</c:v>
                </c:pt>
                <c:pt idx="29">
                  <c:v>30</c:v>
                </c:pt>
              </c:numCache>
            </c:numRef>
          </c:val>
          <c:extLst>
            <c:ext xmlns:c16="http://schemas.microsoft.com/office/drawing/2014/chart" uri="{C3380CC4-5D6E-409C-BE32-E72D297353CC}">
              <c16:uniqueId val="{00000000-CC48-4F58-BBB7-EAF4F20FDBE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87370640"/>
        <c:axId val="1536010224"/>
      </c:areaChart>
      <c:catAx>
        <c:axId val="19873706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536010224"/>
        <c:crosses val="autoZero"/>
        <c:auto val="1"/>
        <c:lblAlgn val="ctr"/>
        <c:lblOffset val="100"/>
        <c:noMultiLvlLbl val="0"/>
      </c:catAx>
      <c:valAx>
        <c:axId val="1536010224"/>
        <c:scaling>
          <c:orientation val="minMax"/>
        </c:scaling>
        <c:delete val="1"/>
        <c:axPos val="l"/>
        <c:numFmt formatCode="General" sourceLinked="1"/>
        <c:majorTickMark val="out"/>
        <c:minorTickMark val="none"/>
        <c:tickLblPos val="nextTo"/>
        <c:crossAx val="19873706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2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Report!PivotTable6</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156244904294168E-2"/>
          <c:y val="0.30762962842472252"/>
          <c:w val="0.943751972592211"/>
          <c:h val="0.54354376433462925"/>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2-1688-4029-9773-7F2F838BA22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59560976"/>
        <c:axId val="1959561456"/>
      </c:areaChart>
      <c:catAx>
        <c:axId val="195956097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1959561456"/>
        <c:crosses val="autoZero"/>
        <c:auto val="1"/>
        <c:lblAlgn val="ctr"/>
        <c:lblOffset val="100"/>
        <c:noMultiLvlLbl val="0"/>
      </c:catAx>
      <c:valAx>
        <c:axId val="1959561456"/>
        <c:scaling>
          <c:orientation val="minMax"/>
        </c:scaling>
        <c:delete val="1"/>
        <c:axPos val="l"/>
        <c:numFmt formatCode="0.00" sourceLinked="1"/>
        <c:majorTickMark val="out"/>
        <c:minorTickMark val="none"/>
        <c:tickLblPos val="nextTo"/>
        <c:crossAx val="19595609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[Excel_ER_Project.xlsx]Pivot Report!PivotTable8</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74643610725135E-2"/>
          <c:y val="0.18696328822251354"/>
          <c:w val="0.958592221053858"/>
          <c:h val="0.64330200307449992"/>
        </c:manualLayout>
      </c:layout>
      <c:areaChart>
        <c:grouping val="standard"/>
        <c:varyColors val="0"/>
        <c:ser>
          <c:idx val="0"/>
          <c:order val="0"/>
          <c:tx>
            <c:strRef>
              <c:f>'Pivot Report'!$L$4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Report'!$L$5:$L$35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2-2BA1-498E-913D-76379732E3B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45737967"/>
        <c:axId val="245750927"/>
      </c:areaChart>
      <c:catAx>
        <c:axId val="2457379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245750927"/>
        <c:crosses val="autoZero"/>
        <c:auto val="1"/>
        <c:lblAlgn val="ctr"/>
        <c:lblOffset val="100"/>
        <c:noMultiLvlLbl val="0"/>
      </c:catAx>
      <c:valAx>
        <c:axId val="245750927"/>
        <c:scaling>
          <c:orientation val="minMax"/>
        </c:scaling>
        <c:delete val="1"/>
        <c:axPos val="l"/>
        <c:numFmt formatCode="0.00" sourceLinked="1"/>
        <c:majorTickMark val="out"/>
        <c:minorTickMark val="none"/>
        <c:tickLblPos val="nextTo"/>
        <c:crossAx val="245737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sz="110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Trend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Daily Trend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Trend Average Wait 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996462</xdr:colOff>
      <xdr:row>36</xdr:row>
      <xdr:rowOff>36634</xdr:rowOff>
    </xdr:from>
    <xdr:to>
      <xdr:col>3</xdr:col>
      <xdr:colOff>1472712</xdr:colOff>
      <xdr:row>39</xdr:row>
      <xdr:rowOff>9922</xdr:rowOff>
    </xdr:to>
    <xdr:graphicFrame macro="">
      <xdr:nvGraphicFramePr>
        <xdr:cNvPr id="23" name="Chart 22">
          <a:extLst>
            <a:ext uri="{FF2B5EF4-FFF2-40B4-BE49-F238E27FC236}">
              <a16:creationId xmlns:a16="http://schemas.microsoft.com/office/drawing/2014/main" id="{49C12E0B-FE3D-B828-BAD7-4B401C538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39808</xdr:colOff>
      <xdr:row>0</xdr:row>
      <xdr:rowOff>31329</xdr:rowOff>
    </xdr:from>
    <xdr:to>
      <xdr:col>6</xdr:col>
      <xdr:colOff>434199</xdr:colOff>
      <xdr:row>2</xdr:row>
      <xdr:rowOff>159281</xdr:rowOff>
    </xdr:to>
    <xdr:sp macro="" textlink="">
      <xdr:nvSpPr>
        <xdr:cNvPr id="2" name="Rectangle: Rounded Corners 1">
          <a:extLst>
            <a:ext uri="{FF2B5EF4-FFF2-40B4-BE49-F238E27FC236}">
              <a16:creationId xmlns:a16="http://schemas.microsoft.com/office/drawing/2014/main" id="{19BA89AD-8758-54A9-CD25-1AE772660A04}"/>
            </a:ext>
          </a:extLst>
        </xdr:cNvPr>
        <xdr:cNvSpPr/>
      </xdr:nvSpPr>
      <xdr:spPr>
        <a:xfrm>
          <a:off x="39808" y="31329"/>
          <a:ext cx="3962603" cy="508952"/>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454270</xdr:colOff>
      <xdr:row>0</xdr:row>
      <xdr:rowOff>31328</xdr:rowOff>
    </xdr:from>
    <xdr:to>
      <xdr:col>8</xdr:col>
      <xdr:colOff>402980</xdr:colOff>
      <xdr:row>2</xdr:row>
      <xdr:rowOff>153865</xdr:rowOff>
    </xdr:to>
    <xdr:sp macro="" textlink="">
      <xdr:nvSpPr>
        <xdr:cNvPr id="9" name="Rectangle: Rounded Corners 8">
          <a:extLst>
            <a:ext uri="{FF2B5EF4-FFF2-40B4-BE49-F238E27FC236}">
              <a16:creationId xmlns:a16="http://schemas.microsoft.com/office/drawing/2014/main" id="{300508BE-1BA8-F3CC-F212-24483D234251}"/>
            </a:ext>
          </a:extLst>
        </xdr:cNvPr>
        <xdr:cNvSpPr/>
      </xdr:nvSpPr>
      <xdr:spPr>
        <a:xfrm>
          <a:off x="4022482" y="31328"/>
          <a:ext cx="1164979" cy="503537"/>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430488</xdr:colOff>
      <xdr:row>0</xdr:row>
      <xdr:rowOff>30371</xdr:rowOff>
    </xdr:from>
    <xdr:to>
      <xdr:col>11</xdr:col>
      <xdr:colOff>164696</xdr:colOff>
      <xdr:row>8</xdr:row>
      <xdr:rowOff>954</xdr:rowOff>
    </xdr:to>
    <xdr:sp macro="" textlink="">
      <xdr:nvSpPr>
        <xdr:cNvPr id="10" name="Rectangle: Rounded Corners 9">
          <a:extLst>
            <a:ext uri="{FF2B5EF4-FFF2-40B4-BE49-F238E27FC236}">
              <a16:creationId xmlns:a16="http://schemas.microsoft.com/office/drawing/2014/main" id="{3DFACC5F-1CAD-979C-D541-0D387BCC8880}"/>
            </a:ext>
          </a:extLst>
        </xdr:cNvPr>
        <xdr:cNvSpPr/>
      </xdr:nvSpPr>
      <xdr:spPr>
        <a:xfrm>
          <a:off x="5214969" y="30371"/>
          <a:ext cx="1558612" cy="1494583"/>
        </a:xfrm>
        <a:prstGeom prst="roundRect">
          <a:avLst>
            <a:gd name="adj" fmla="val 61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46182</xdr:colOff>
      <xdr:row>2</xdr:row>
      <xdr:rowOff>182413</xdr:rowOff>
    </xdr:from>
    <xdr:to>
      <xdr:col>1</xdr:col>
      <xdr:colOff>337994</xdr:colOff>
      <xdr:row>19</xdr:row>
      <xdr:rowOff>110153</xdr:rowOff>
    </xdr:to>
    <xdr:sp macro="" textlink="">
      <xdr:nvSpPr>
        <xdr:cNvPr id="12" name="Rectangle: Rounded Corners 11">
          <a:extLst>
            <a:ext uri="{FF2B5EF4-FFF2-40B4-BE49-F238E27FC236}">
              <a16:creationId xmlns:a16="http://schemas.microsoft.com/office/drawing/2014/main" id="{64ABDDAA-9D57-9634-0A92-AE834806B4EF}"/>
            </a:ext>
          </a:extLst>
        </xdr:cNvPr>
        <xdr:cNvSpPr/>
      </xdr:nvSpPr>
      <xdr:spPr>
        <a:xfrm>
          <a:off x="46182" y="558229"/>
          <a:ext cx="900894" cy="3122179"/>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356242</xdr:colOff>
      <xdr:row>2</xdr:row>
      <xdr:rowOff>182415</xdr:rowOff>
    </xdr:from>
    <xdr:to>
      <xdr:col>3</xdr:col>
      <xdr:colOff>532456</xdr:colOff>
      <xdr:row>6</xdr:row>
      <xdr:rowOff>182415</xdr:rowOff>
    </xdr:to>
    <xdr:sp macro="" textlink="">
      <xdr:nvSpPr>
        <xdr:cNvPr id="13" name="Rectangle: Rounded Corners 12">
          <a:extLst>
            <a:ext uri="{FF2B5EF4-FFF2-40B4-BE49-F238E27FC236}">
              <a16:creationId xmlns:a16="http://schemas.microsoft.com/office/drawing/2014/main" id="{BA9A7DCE-5A6C-EC21-7D56-8C07BC039719}"/>
            </a:ext>
          </a:extLst>
        </xdr:cNvPr>
        <xdr:cNvSpPr/>
      </xdr:nvSpPr>
      <xdr:spPr>
        <a:xfrm>
          <a:off x="964377" y="563415"/>
          <a:ext cx="1392483" cy="762000"/>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555275</xdr:colOff>
      <xdr:row>2</xdr:row>
      <xdr:rowOff>182415</xdr:rowOff>
    </xdr:from>
    <xdr:to>
      <xdr:col>6</xdr:col>
      <xdr:colOff>203949</xdr:colOff>
      <xdr:row>6</xdr:row>
      <xdr:rowOff>182415</xdr:rowOff>
    </xdr:to>
    <xdr:sp macro="" textlink="">
      <xdr:nvSpPr>
        <xdr:cNvPr id="19" name="Rectangle: Rounded Corners 18">
          <a:extLst>
            <a:ext uri="{FF2B5EF4-FFF2-40B4-BE49-F238E27FC236}">
              <a16:creationId xmlns:a16="http://schemas.microsoft.com/office/drawing/2014/main" id="{5B7AA3E4-AE94-2CC9-F3A6-0960A37B2546}"/>
            </a:ext>
          </a:extLst>
        </xdr:cNvPr>
        <xdr:cNvSpPr/>
      </xdr:nvSpPr>
      <xdr:spPr>
        <a:xfrm>
          <a:off x="2379679" y="563415"/>
          <a:ext cx="1392482" cy="762000"/>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226768</xdr:colOff>
      <xdr:row>2</xdr:row>
      <xdr:rowOff>175088</xdr:rowOff>
    </xdr:from>
    <xdr:to>
      <xdr:col>8</xdr:col>
      <xdr:colOff>402981</xdr:colOff>
      <xdr:row>6</xdr:row>
      <xdr:rowOff>175088</xdr:rowOff>
    </xdr:to>
    <xdr:sp macro="" textlink="">
      <xdr:nvSpPr>
        <xdr:cNvPr id="20" name="Rectangle: Rounded Corners 19">
          <a:extLst>
            <a:ext uri="{FF2B5EF4-FFF2-40B4-BE49-F238E27FC236}">
              <a16:creationId xmlns:a16="http://schemas.microsoft.com/office/drawing/2014/main" id="{16B43145-DCC4-15D5-DEEB-5866E6C5353E}"/>
            </a:ext>
          </a:extLst>
        </xdr:cNvPr>
        <xdr:cNvSpPr/>
      </xdr:nvSpPr>
      <xdr:spPr>
        <a:xfrm>
          <a:off x="3794980" y="556088"/>
          <a:ext cx="1392482" cy="762000"/>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359020</xdr:colOff>
      <xdr:row>10</xdr:row>
      <xdr:rowOff>187460</xdr:rowOff>
    </xdr:from>
    <xdr:to>
      <xdr:col>8</xdr:col>
      <xdr:colOff>395656</xdr:colOff>
      <xdr:row>19</xdr:row>
      <xdr:rowOff>103491</xdr:rowOff>
    </xdr:to>
    <xdr:sp macro="" textlink="">
      <xdr:nvSpPr>
        <xdr:cNvPr id="22" name="Rectangle: Rounded Corners 21">
          <a:extLst>
            <a:ext uri="{FF2B5EF4-FFF2-40B4-BE49-F238E27FC236}">
              <a16:creationId xmlns:a16="http://schemas.microsoft.com/office/drawing/2014/main" id="{EC0EF1F2-6E24-E683-32FF-AA59A60CB554}"/>
            </a:ext>
          </a:extLst>
        </xdr:cNvPr>
        <xdr:cNvSpPr/>
      </xdr:nvSpPr>
      <xdr:spPr>
        <a:xfrm>
          <a:off x="971817" y="2119103"/>
          <a:ext cx="4232965" cy="1654510"/>
        </a:xfrm>
        <a:prstGeom prst="roundRect">
          <a:avLst>
            <a:gd name="adj" fmla="val 8559"/>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189655</xdr:colOff>
      <xdr:row>0</xdr:row>
      <xdr:rowOff>30372</xdr:rowOff>
    </xdr:from>
    <xdr:to>
      <xdr:col>13</xdr:col>
      <xdr:colOff>531998</xdr:colOff>
      <xdr:row>8</xdr:row>
      <xdr:rowOff>955</xdr:rowOff>
    </xdr:to>
    <xdr:sp macro="" textlink="">
      <xdr:nvSpPr>
        <xdr:cNvPr id="27" name="Rectangle: Rounded Corners 26">
          <a:extLst>
            <a:ext uri="{FF2B5EF4-FFF2-40B4-BE49-F238E27FC236}">
              <a16:creationId xmlns:a16="http://schemas.microsoft.com/office/drawing/2014/main" id="{3936E62C-E865-C8B1-E219-6571DB907AA0}"/>
            </a:ext>
          </a:extLst>
        </xdr:cNvPr>
        <xdr:cNvSpPr/>
      </xdr:nvSpPr>
      <xdr:spPr>
        <a:xfrm>
          <a:off x="6798540" y="30372"/>
          <a:ext cx="1558612" cy="1494583"/>
        </a:xfrm>
        <a:prstGeom prst="roundRect">
          <a:avLst>
            <a:gd name="adj" fmla="val 61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8</xdr:col>
      <xdr:colOff>418481</xdr:colOff>
      <xdr:row>8</xdr:row>
      <xdr:rowOff>29308</xdr:rowOff>
    </xdr:from>
    <xdr:to>
      <xdr:col>13</xdr:col>
      <xdr:colOff>550365</xdr:colOff>
      <xdr:row>19</xdr:row>
      <xdr:rowOff>97194</xdr:rowOff>
    </xdr:to>
    <xdr:sp macro="" textlink="">
      <xdr:nvSpPr>
        <xdr:cNvPr id="28" name="Rectangle: Rounded Corners 27">
          <a:extLst>
            <a:ext uri="{FF2B5EF4-FFF2-40B4-BE49-F238E27FC236}">
              <a16:creationId xmlns:a16="http://schemas.microsoft.com/office/drawing/2014/main" id="{4D90C409-6CB7-264E-B66E-874AA15D9B10}"/>
            </a:ext>
          </a:extLst>
        </xdr:cNvPr>
        <xdr:cNvSpPr/>
      </xdr:nvSpPr>
      <xdr:spPr>
        <a:xfrm>
          <a:off x="5206899" y="1532573"/>
          <a:ext cx="3177293" cy="2134876"/>
        </a:xfrm>
        <a:prstGeom prst="roundRect">
          <a:avLst>
            <a:gd name="adj" fmla="val 617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300404</xdr:colOff>
      <xdr:row>0</xdr:row>
      <xdr:rowOff>95250</xdr:rowOff>
    </xdr:from>
    <xdr:to>
      <xdr:col>6</xdr:col>
      <xdr:colOff>212480</xdr:colOff>
      <xdr:row>1</xdr:row>
      <xdr:rowOff>102577</xdr:rowOff>
    </xdr:to>
    <xdr:sp macro="" textlink="">
      <xdr:nvSpPr>
        <xdr:cNvPr id="31" name="TextBox 30">
          <a:extLst>
            <a:ext uri="{FF2B5EF4-FFF2-40B4-BE49-F238E27FC236}">
              <a16:creationId xmlns:a16="http://schemas.microsoft.com/office/drawing/2014/main" id="{09964C53-23E7-0902-42FB-AEEC89ED075E}"/>
            </a:ext>
          </a:extLst>
        </xdr:cNvPr>
        <xdr:cNvSpPr txBox="1"/>
      </xdr:nvSpPr>
      <xdr:spPr>
        <a:xfrm>
          <a:off x="908539" y="95250"/>
          <a:ext cx="2872153" cy="197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aseline="0"/>
            <a:t>  </a:t>
          </a:r>
          <a:r>
            <a:rPr lang="en-IN" sz="1400" b="1"/>
            <a:t>Hospital</a:t>
          </a:r>
          <a:r>
            <a:rPr lang="en-IN" sz="1400" b="1" baseline="0"/>
            <a:t> Emergency Room Dashboard</a:t>
          </a:r>
          <a:endParaRPr lang="en-IN" sz="1400" b="1"/>
        </a:p>
      </xdr:txBody>
    </xdr:sp>
    <xdr:clientData/>
  </xdr:twoCellAnchor>
  <xdr:twoCellAnchor editAs="oneCell">
    <xdr:from>
      <xdr:col>0</xdr:col>
      <xdr:colOff>124558</xdr:colOff>
      <xdr:row>0</xdr:row>
      <xdr:rowOff>0</xdr:rowOff>
    </xdr:from>
    <xdr:to>
      <xdr:col>1</xdr:col>
      <xdr:colOff>197827</xdr:colOff>
      <xdr:row>2</xdr:row>
      <xdr:rowOff>139213</xdr:rowOff>
    </xdr:to>
    <xdr:pic>
      <xdr:nvPicPr>
        <xdr:cNvPr id="33" name="Picture 32">
          <a:extLst>
            <a:ext uri="{FF2B5EF4-FFF2-40B4-BE49-F238E27FC236}">
              <a16:creationId xmlns:a16="http://schemas.microsoft.com/office/drawing/2014/main" id="{DB752942-DD86-4E49-F3E3-93A239BCAF1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019" t="2631" r="21593" b="11842"/>
        <a:stretch>
          <a:fillRect/>
        </a:stretch>
      </xdr:blipFill>
      <xdr:spPr>
        <a:xfrm>
          <a:off x="124558" y="0"/>
          <a:ext cx="681404" cy="520213"/>
        </a:xfrm>
        <a:prstGeom prst="rect">
          <a:avLst/>
        </a:prstGeom>
      </xdr:spPr>
    </xdr:pic>
    <xdr:clientData/>
  </xdr:twoCellAnchor>
  <xdr:twoCellAnchor editAs="absolute">
    <xdr:from>
      <xdr:col>3</xdr:col>
      <xdr:colOff>87927</xdr:colOff>
      <xdr:row>1</xdr:row>
      <xdr:rowOff>139212</xdr:rowOff>
    </xdr:from>
    <xdr:to>
      <xdr:col>4</xdr:col>
      <xdr:colOff>381005</xdr:colOff>
      <xdr:row>2</xdr:row>
      <xdr:rowOff>117232</xdr:rowOff>
    </xdr:to>
    <xdr:sp macro="" textlink="">
      <xdr:nvSpPr>
        <xdr:cNvPr id="34" name="TextBox 33">
          <a:extLst>
            <a:ext uri="{FF2B5EF4-FFF2-40B4-BE49-F238E27FC236}">
              <a16:creationId xmlns:a16="http://schemas.microsoft.com/office/drawing/2014/main" id="{22B6ED88-1209-D806-48AE-E3888A4419CE}"/>
            </a:ext>
          </a:extLst>
        </xdr:cNvPr>
        <xdr:cNvSpPr txBox="1"/>
      </xdr:nvSpPr>
      <xdr:spPr>
        <a:xfrm>
          <a:off x="1912331" y="329712"/>
          <a:ext cx="901212" cy="168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aseline="0"/>
            <a:t>  Monthly Report</a:t>
          </a:r>
          <a:endParaRPr lang="en-IN" sz="1050" b="1"/>
        </a:p>
      </xdr:txBody>
    </xdr:sp>
    <xdr:clientData/>
  </xdr:twoCellAnchor>
  <xdr:twoCellAnchor editAs="absolute">
    <xdr:from>
      <xdr:col>1</xdr:col>
      <xdr:colOff>359021</xdr:colOff>
      <xdr:row>4</xdr:row>
      <xdr:rowOff>58614</xdr:rowOff>
    </xdr:from>
    <xdr:to>
      <xdr:col>3</xdr:col>
      <xdr:colOff>549521</xdr:colOff>
      <xdr:row>5</xdr:row>
      <xdr:rowOff>51288</xdr:rowOff>
    </xdr:to>
    <xdr:sp macro="" textlink="">
      <xdr:nvSpPr>
        <xdr:cNvPr id="35" name="TextBox 34">
          <a:extLst>
            <a:ext uri="{FF2B5EF4-FFF2-40B4-BE49-F238E27FC236}">
              <a16:creationId xmlns:a16="http://schemas.microsoft.com/office/drawing/2014/main" id="{8600D01A-F126-3DE0-9398-1FAFA53B4405}"/>
            </a:ext>
          </a:extLst>
        </xdr:cNvPr>
        <xdr:cNvSpPr txBox="1"/>
      </xdr:nvSpPr>
      <xdr:spPr>
        <a:xfrm>
          <a:off x="967156" y="820614"/>
          <a:ext cx="1406769" cy="18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aseline="0"/>
            <a:t> No. of Patient</a:t>
          </a:r>
          <a:endParaRPr lang="en-IN" sz="1000" b="1"/>
        </a:p>
      </xdr:txBody>
    </xdr:sp>
    <xdr:clientData/>
  </xdr:twoCellAnchor>
  <xdr:twoCellAnchor editAs="absolute">
    <xdr:from>
      <xdr:col>1</xdr:col>
      <xdr:colOff>337041</xdr:colOff>
      <xdr:row>3</xdr:row>
      <xdr:rowOff>58615</xdr:rowOff>
    </xdr:from>
    <xdr:to>
      <xdr:col>3</xdr:col>
      <xdr:colOff>527541</xdr:colOff>
      <xdr:row>4</xdr:row>
      <xdr:rowOff>51289</xdr:rowOff>
    </xdr:to>
    <xdr:sp macro="" textlink="'Pivot Report'!A5">
      <xdr:nvSpPr>
        <xdr:cNvPr id="36" name="TextBox 35">
          <a:extLst>
            <a:ext uri="{FF2B5EF4-FFF2-40B4-BE49-F238E27FC236}">
              <a16:creationId xmlns:a16="http://schemas.microsoft.com/office/drawing/2014/main" id="{B76A766E-1643-1876-1B14-C314E8C73545}"/>
            </a:ext>
          </a:extLst>
        </xdr:cNvPr>
        <xdr:cNvSpPr txBox="1"/>
      </xdr:nvSpPr>
      <xdr:spPr>
        <a:xfrm>
          <a:off x="945176" y="630115"/>
          <a:ext cx="1406769" cy="18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182CE04-AE8D-4012-AEB2-711F84E3EF25}" type="TxLink">
            <a:rPr lang="en-US" sz="1400" b="0" i="0" u="none" strike="noStrike" baseline="0">
              <a:solidFill>
                <a:srgbClr val="000000"/>
              </a:solidFill>
              <a:latin typeface="Aptos Narrow"/>
            </a:rPr>
            <a:pPr algn="ctr"/>
            <a:t>479</a:t>
          </a:fld>
          <a:endParaRPr lang="en-IN" sz="1200" b="1"/>
        </a:p>
      </xdr:txBody>
    </xdr:sp>
    <xdr:clientData/>
  </xdr:twoCellAnchor>
  <xdr:twoCellAnchor editAs="absolute">
    <xdr:from>
      <xdr:col>3</xdr:col>
      <xdr:colOff>556848</xdr:colOff>
      <xdr:row>4</xdr:row>
      <xdr:rowOff>36633</xdr:rowOff>
    </xdr:from>
    <xdr:to>
      <xdr:col>6</xdr:col>
      <xdr:colOff>219809</xdr:colOff>
      <xdr:row>5</xdr:row>
      <xdr:rowOff>29307</xdr:rowOff>
    </xdr:to>
    <xdr:sp macro="" textlink="">
      <xdr:nvSpPr>
        <xdr:cNvPr id="37" name="TextBox 36">
          <a:extLst>
            <a:ext uri="{FF2B5EF4-FFF2-40B4-BE49-F238E27FC236}">
              <a16:creationId xmlns:a16="http://schemas.microsoft.com/office/drawing/2014/main" id="{DDF739A5-98BD-ACD3-EC08-BC45212D9A04}"/>
            </a:ext>
          </a:extLst>
        </xdr:cNvPr>
        <xdr:cNvSpPr txBox="1"/>
      </xdr:nvSpPr>
      <xdr:spPr>
        <a:xfrm>
          <a:off x="2381252" y="798633"/>
          <a:ext cx="1406769" cy="18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aseline="0"/>
            <a:t> Avg Wait Time (MIN)</a:t>
          </a:r>
        </a:p>
      </xdr:txBody>
    </xdr:sp>
    <xdr:clientData/>
  </xdr:twoCellAnchor>
  <xdr:twoCellAnchor editAs="absolute">
    <xdr:from>
      <xdr:col>3</xdr:col>
      <xdr:colOff>556848</xdr:colOff>
      <xdr:row>3</xdr:row>
      <xdr:rowOff>51288</xdr:rowOff>
    </xdr:from>
    <xdr:to>
      <xdr:col>6</xdr:col>
      <xdr:colOff>219809</xdr:colOff>
      <xdr:row>4</xdr:row>
      <xdr:rowOff>43962</xdr:rowOff>
    </xdr:to>
    <xdr:sp macro="" textlink="'Pivot Report'!A8">
      <xdr:nvSpPr>
        <xdr:cNvPr id="38" name="TextBox 37">
          <a:extLst>
            <a:ext uri="{FF2B5EF4-FFF2-40B4-BE49-F238E27FC236}">
              <a16:creationId xmlns:a16="http://schemas.microsoft.com/office/drawing/2014/main" id="{6187B1B0-E030-5AB3-CCB0-B850C0F576B2}"/>
            </a:ext>
          </a:extLst>
        </xdr:cNvPr>
        <xdr:cNvSpPr txBox="1"/>
      </xdr:nvSpPr>
      <xdr:spPr>
        <a:xfrm>
          <a:off x="2381252" y="622788"/>
          <a:ext cx="1406769" cy="18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F6C4E62-51F1-4F0E-9B09-86DD6114BCB6}" type="TxLink">
            <a:rPr lang="en-US" sz="1400" b="0" i="0" u="none" strike="noStrike" baseline="0">
              <a:solidFill>
                <a:srgbClr val="000000"/>
              </a:solidFill>
              <a:latin typeface="Aptos Narrow"/>
            </a:rPr>
            <a:pPr algn="ctr"/>
            <a:t>34.90</a:t>
          </a:fld>
          <a:endParaRPr lang="en-IN" sz="1600" b="1"/>
        </a:p>
      </xdr:txBody>
    </xdr:sp>
    <xdr:clientData/>
  </xdr:twoCellAnchor>
  <xdr:twoCellAnchor editAs="absolute">
    <xdr:from>
      <xdr:col>6</xdr:col>
      <xdr:colOff>241790</xdr:colOff>
      <xdr:row>4</xdr:row>
      <xdr:rowOff>36633</xdr:rowOff>
    </xdr:from>
    <xdr:to>
      <xdr:col>8</xdr:col>
      <xdr:colOff>432290</xdr:colOff>
      <xdr:row>5</xdr:row>
      <xdr:rowOff>29307</xdr:rowOff>
    </xdr:to>
    <xdr:sp macro="" textlink="">
      <xdr:nvSpPr>
        <xdr:cNvPr id="39" name="TextBox 38">
          <a:extLst>
            <a:ext uri="{FF2B5EF4-FFF2-40B4-BE49-F238E27FC236}">
              <a16:creationId xmlns:a16="http://schemas.microsoft.com/office/drawing/2014/main" id="{199E25BB-ACA5-FDB3-1346-589DC11C6632}"/>
            </a:ext>
          </a:extLst>
        </xdr:cNvPr>
        <xdr:cNvSpPr txBox="1"/>
      </xdr:nvSpPr>
      <xdr:spPr>
        <a:xfrm>
          <a:off x="3810002" y="798633"/>
          <a:ext cx="1406769" cy="18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aseline="0"/>
            <a:t> Satisfaction Score</a:t>
          </a:r>
          <a:endParaRPr lang="en-IN" sz="1000" b="1"/>
        </a:p>
      </xdr:txBody>
    </xdr:sp>
    <xdr:clientData/>
  </xdr:twoCellAnchor>
  <xdr:twoCellAnchor editAs="absolute">
    <xdr:from>
      <xdr:col>6</xdr:col>
      <xdr:colOff>219809</xdr:colOff>
      <xdr:row>3</xdr:row>
      <xdr:rowOff>51288</xdr:rowOff>
    </xdr:from>
    <xdr:to>
      <xdr:col>8</xdr:col>
      <xdr:colOff>410309</xdr:colOff>
      <xdr:row>4</xdr:row>
      <xdr:rowOff>43962</xdr:rowOff>
    </xdr:to>
    <xdr:sp macro="" textlink="'Pivot Report'!A11">
      <xdr:nvSpPr>
        <xdr:cNvPr id="40" name="TextBox 39">
          <a:extLst>
            <a:ext uri="{FF2B5EF4-FFF2-40B4-BE49-F238E27FC236}">
              <a16:creationId xmlns:a16="http://schemas.microsoft.com/office/drawing/2014/main" id="{A592BF12-2F8F-05A2-C38E-C76309E655FE}"/>
            </a:ext>
          </a:extLst>
        </xdr:cNvPr>
        <xdr:cNvSpPr txBox="1"/>
      </xdr:nvSpPr>
      <xdr:spPr>
        <a:xfrm>
          <a:off x="3788021" y="622788"/>
          <a:ext cx="1406769" cy="18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B01B27CA-9A86-4A81-B8BC-E53BC5753A1B}" type="TxLink">
            <a:rPr lang="en-US" sz="1400" b="0" i="0" u="none" strike="noStrike" baseline="0">
              <a:solidFill>
                <a:srgbClr val="000000"/>
              </a:solidFill>
              <a:latin typeface="Aptos Narrow"/>
            </a:rPr>
            <a:pPr algn="ctr"/>
            <a:t>5.30</a:t>
          </a:fld>
          <a:endParaRPr lang="en-IN" sz="1600" b="1"/>
        </a:p>
      </xdr:txBody>
    </xdr:sp>
    <xdr:clientData/>
  </xdr:twoCellAnchor>
  <xdr:twoCellAnchor editAs="oneCell">
    <xdr:from>
      <xdr:col>3</xdr:col>
      <xdr:colOff>249119</xdr:colOff>
      <xdr:row>3</xdr:row>
      <xdr:rowOff>1</xdr:rowOff>
    </xdr:from>
    <xdr:to>
      <xdr:col>3</xdr:col>
      <xdr:colOff>537119</xdr:colOff>
      <xdr:row>4</xdr:row>
      <xdr:rowOff>97501</xdr:rowOff>
    </xdr:to>
    <xdr:pic>
      <xdr:nvPicPr>
        <xdr:cNvPr id="42" name="Graphic 41" descr="Male profile with solid fill">
          <a:extLst>
            <a:ext uri="{FF2B5EF4-FFF2-40B4-BE49-F238E27FC236}">
              <a16:creationId xmlns:a16="http://schemas.microsoft.com/office/drawing/2014/main" id="{6EB1CEA6-8865-D607-A10C-F4978F4483D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73523" y="571501"/>
          <a:ext cx="288000" cy="288000"/>
        </a:xfrm>
        <a:prstGeom prst="rect">
          <a:avLst/>
        </a:prstGeom>
      </xdr:spPr>
    </xdr:pic>
    <xdr:clientData/>
  </xdr:twoCellAnchor>
  <xdr:twoCellAnchor editAs="oneCell">
    <xdr:from>
      <xdr:col>5</xdr:col>
      <xdr:colOff>534865</xdr:colOff>
      <xdr:row>3</xdr:row>
      <xdr:rowOff>7327</xdr:rowOff>
    </xdr:from>
    <xdr:to>
      <xdr:col>6</xdr:col>
      <xdr:colOff>215365</xdr:colOff>
      <xdr:row>4</xdr:row>
      <xdr:rowOff>68827</xdr:rowOff>
    </xdr:to>
    <xdr:pic>
      <xdr:nvPicPr>
        <xdr:cNvPr id="44" name="Graphic 43" descr="Hourglass 30% with solid fill">
          <a:extLst>
            <a:ext uri="{FF2B5EF4-FFF2-40B4-BE49-F238E27FC236}">
              <a16:creationId xmlns:a16="http://schemas.microsoft.com/office/drawing/2014/main" id="{D837A4C9-9141-E107-5392-5A4B1071F92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31577" y="578827"/>
          <a:ext cx="252000" cy="252000"/>
        </a:xfrm>
        <a:prstGeom prst="rect">
          <a:avLst/>
        </a:prstGeom>
      </xdr:spPr>
    </xdr:pic>
    <xdr:clientData/>
  </xdr:twoCellAnchor>
  <xdr:twoCellAnchor editAs="oneCell">
    <xdr:from>
      <xdr:col>8</xdr:col>
      <xdr:colOff>124559</xdr:colOff>
      <xdr:row>2</xdr:row>
      <xdr:rowOff>168518</xdr:rowOff>
    </xdr:from>
    <xdr:to>
      <xdr:col>8</xdr:col>
      <xdr:colOff>412559</xdr:colOff>
      <xdr:row>4</xdr:row>
      <xdr:rowOff>75518</xdr:rowOff>
    </xdr:to>
    <xdr:pic>
      <xdr:nvPicPr>
        <xdr:cNvPr id="46" name="Graphic 45" descr="Rating with solid fill">
          <a:extLst>
            <a:ext uri="{FF2B5EF4-FFF2-40B4-BE49-F238E27FC236}">
              <a16:creationId xmlns:a16="http://schemas.microsoft.com/office/drawing/2014/main" id="{622956AF-5645-EC0C-DBDD-F1581CB8005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09040" y="549518"/>
          <a:ext cx="288000" cy="288000"/>
        </a:xfrm>
        <a:prstGeom prst="rect">
          <a:avLst/>
        </a:prstGeom>
      </xdr:spPr>
    </xdr:pic>
    <xdr:clientData/>
  </xdr:twoCellAnchor>
  <xdr:twoCellAnchor editAs="oneCell">
    <xdr:from>
      <xdr:col>0</xdr:col>
      <xdr:colOff>157503</xdr:colOff>
      <xdr:row>4</xdr:row>
      <xdr:rowOff>68181</xdr:rowOff>
    </xdr:from>
    <xdr:to>
      <xdr:col>1</xdr:col>
      <xdr:colOff>223871</xdr:colOff>
      <xdr:row>18</xdr:row>
      <xdr:rowOff>123108</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2143E732-CC83-4BEC-B8CF-02232C826FE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7503" y="822244"/>
              <a:ext cx="671602" cy="2694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315057</xdr:colOff>
      <xdr:row>5</xdr:row>
      <xdr:rowOff>36635</xdr:rowOff>
    </xdr:from>
    <xdr:to>
      <xdr:col>3</xdr:col>
      <xdr:colOff>527538</xdr:colOff>
      <xdr:row>7</xdr:row>
      <xdr:rowOff>0</xdr:rowOff>
    </xdr:to>
    <xdr:graphicFrame macro="">
      <xdr:nvGraphicFramePr>
        <xdr:cNvPr id="48" name="Chart 47">
          <a:hlinkClick xmlns:r="http://schemas.openxmlformats.org/officeDocument/2006/relationships" r:id="rId8"/>
          <a:extLst>
            <a:ext uri="{FF2B5EF4-FFF2-40B4-BE49-F238E27FC236}">
              <a16:creationId xmlns:a16="http://schemas.microsoft.com/office/drawing/2014/main" id="{AE6D611C-4731-4793-94BC-FA3A2BF6E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549519</xdr:colOff>
      <xdr:row>5</xdr:row>
      <xdr:rowOff>87922</xdr:rowOff>
    </xdr:from>
    <xdr:to>
      <xdr:col>6</xdr:col>
      <xdr:colOff>322384</xdr:colOff>
      <xdr:row>7</xdr:row>
      <xdr:rowOff>51289</xdr:rowOff>
    </xdr:to>
    <xdr:graphicFrame macro="">
      <xdr:nvGraphicFramePr>
        <xdr:cNvPr id="50" name="Chart 49">
          <a:hlinkClick xmlns:r="http://schemas.openxmlformats.org/officeDocument/2006/relationships" r:id="rId10"/>
          <a:extLst>
            <a:ext uri="{FF2B5EF4-FFF2-40B4-BE49-F238E27FC236}">
              <a16:creationId xmlns:a16="http://schemas.microsoft.com/office/drawing/2014/main" id="{F5102FB5-310A-4B16-97F2-920F1EB2B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212482</xdr:colOff>
      <xdr:row>4</xdr:row>
      <xdr:rowOff>190499</xdr:rowOff>
    </xdr:from>
    <xdr:to>
      <xdr:col>8</xdr:col>
      <xdr:colOff>402981</xdr:colOff>
      <xdr:row>6</xdr:row>
      <xdr:rowOff>161192</xdr:rowOff>
    </xdr:to>
    <xdr:graphicFrame macro="">
      <xdr:nvGraphicFramePr>
        <xdr:cNvPr id="52" name="Chart 51">
          <a:hlinkClick xmlns:r="http://schemas.openxmlformats.org/officeDocument/2006/relationships" r:id="rId12"/>
          <a:extLst>
            <a:ext uri="{FF2B5EF4-FFF2-40B4-BE49-F238E27FC236}">
              <a16:creationId xmlns:a16="http://schemas.microsoft.com/office/drawing/2014/main" id="{E0D3DB76-3765-442A-B1CA-F395CDB60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359020</xdr:colOff>
          <xdr:row>7</xdr:row>
          <xdr:rowOff>10862</xdr:rowOff>
        </xdr:from>
        <xdr:to>
          <xdr:col>8</xdr:col>
          <xdr:colOff>395654</xdr:colOff>
          <xdr:row>10</xdr:row>
          <xdr:rowOff>160902</xdr:rowOff>
        </xdr:to>
        <xdr:pic>
          <xdr:nvPicPr>
            <xdr:cNvPr id="64" name="Picture 63">
              <a:extLst>
                <a:ext uri="{FF2B5EF4-FFF2-40B4-BE49-F238E27FC236}">
                  <a16:creationId xmlns:a16="http://schemas.microsoft.com/office/drawing/2014/main" id="{EF58469E-899B-94D7-E299-552BE573C89E}"/>
                </a:ext>
              </a:extLst>
            </xdr:cNvPr>
            <xdr:cNvPicPr>
              <a:picLocks noChangeAspect="1" noChangeArrowheads="1"/>
              <a:extLst>
                <a:ext uri="{84589F7E-364E-4C9E-8A38-B11213B215E9}">
                  <a14:cameraTool cellRange="'Pivot Report'!$A$37:$D$39" spid="_x0000_s2108"/>
                </a:ext>
              </a:extLst>
            </xdr:cNvPicPr>
          </xdr:nvPicPr>
          <xdr:blipFill>
            <a:blip xmlns:r="http://schemas.openxmlformats.org/officeDocument/2006/relationships" r:embed="rId14"/>
            <a:srcRect/>
            <a:stretch>
              <a:fillRect/>
            </a:stretch>
          </xdr:blipFill>
          <xdr:spPr bwMode="auto">
            <a:xfrm>
              <a:off x="971817" y="1363012"/>
              <a:ext cx="4232963" cy="729533"/>
            </a:xfrm>
            <a:prstGeom prst="roundRect">
              <a:avLst>
                <a:gd name="adj" fmla="val 8594"/>
              </a:avLst>
            </a:prstGeom>
            <a:solidFill>
              <a:schemeClr val="bg1"/>
            </a:solidFill>
            <a:ln>
              <a:noFill/>
            </a:ln>
            <a:effectLst/>
          </xdr:spPr>
        </xdr:pic>
        <xdr:clientData/>
      </xdr:twoCellAnchor>
    </mc:Choice>
    <mc:Fallback/>
  </mc:AlternateContent>
  <xdr:twoCellAnchor>
    <xdr:from>
      <xdr:col>1</xdr:col>
      <xdr:colOff>410307</xdr:colOff>
      <xdr:row>11</xdr:row>
      <xdr:rowOff>14654</xdr:rowOff>
    </xdr:from>
    <xdr:to>
      <xdr:col>8</xdr:col>
      <xdr:colOff>315057</xdr:colOff>
      <xdr:row>18</xdr:row>
      <xdr:rowOff>129592</xdr:rowOff>
    </xdr:to>
    <xdr:graphicFrame macro="">
      <xdr:nvGraphicFramePr>
        <xdr:cNvPr id="77" name="Chart 76">
          <a:extLst>
            <a:ext uri="{FF2B5EF4-FFF2-40B4-BE49-F238E27FC236}">
              <a16:creationId xmlns:a16="http://schemas.microsoft.com/office/drawing/2014/main" id="{374902CB-7818-4009-8F6D-327E48C14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499311</xdr:colOff>
      <xdr:row>18</xdr:row>
      <xdr:rowOff>53759</xdr:rowOff>
    </xdr:from>
    <xdr:to>
      <xdr:col>6</xdr:col>
      <xdr:colOff>162272</xdr:colOff>
      <xdr:row>19</xdr:row>
      <xdr:rowOff>46434</xdr:rowOff>
    </xdr:to>
    <xdr:sp macro="" textlink="">
      <xdr:nvSpPr>
        <xdr:cNvPr id="78" name="TextBox 77">
          <a:extLst>
            <a:ext uri="{FF2B5EF4-FFF2-40B4-BE49-F238E27FC236}">
              <a16:creationId xmlns:a16="http://schemas.microsoft.com/office/drawing/2014/main" id="{DB2EB34B-2ADA-6286-78E1-AC56F13332F5}"/>
            </a:ext>
          </a:extLst>
        </xdr:cNvPr>
        <xdr:cNvSpPr txBox="1"/>
      </xdr:nvSpPr>
      <xdr:spPr>
        <a:xfrm>
          <a:off x="2326556" y="3436106"/>
          <a:ext cx="1405971" cy="180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800" b="0" baseline="0">
              <a:solidFill>
                <a:sysClr val="windowText" lastClr="000000"/>
              </a:solidFill>
            </a:rPr>
            <a:t> No. of Patient By Age Group</a:t>
          </a:r>
          <a:endParaRPr lang="en-IN" sz="800" b="0">
            <a:solidFill>
              <a:sysClr val="windowText" lastClr="000000"/>
            </a:solidFill>
          </a:endParaRPr>
        </a:p>
      </xdr:txBody>
    </xdr:sp>
    <xdr:clientData/>
  </xdr:twoCellAnchor>
  <xdr:twoCellAnchor>
    <xdr:from>
      <xdr:col>8</xdr:col>
      <xdr:colOff>432288</xdr:colOff>
      <xdr:row>0</xdr:row>
      <xdr:rowOff>14654</xdr:rowOff>
    </xdr:from>
    <xdr:to>
      <xdr:col>11</xdr:col>
      <xdr:colOff>139211</xdr:colOff>
      <xdr:row>8</xdr:row>
      <xdr:rowOff>29308</xdr:rowOff>
    </xdr:to>
    <xdr:graphicFrame macro="">
      <xdr:nvGraphicFramePr>
        <xdr:cNvPr id="81" name="Chart 80">
          <a:extLst>
            <a:ext uri="{FF2B5EF4-FFF2-40B4-BE49-F238E27FC236}">
              <a16:creationId xmlns:a16="http://schemas.microsoft.com/office/drawing/2014/main" id="{4986BE87-FAF8-48AC-A024-5D05DEFA78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439616</xdr:colOff>
      <xdr:row>7</xdr:row>
      <xdr:rowOff>79130</xdr:rowOff>
    </xdr:from>
    <xdr:to>
      <xdr:col>11</xdr:col>
      <xdr:colOff>183174</xdr:colOff>
      <xdr:row>7</xdr:row>
      <xdr:rowOff>183174</xdr:rowOff>
    </xdr:to>
    <xdr:sp macro="" textlink="">
      <xdr:nvSpPr>
        <xdr:cNvPr id="82" name="TextBox 81">
          <a:extLst>
            <a:ext uri="{FF2B5EF4-FFF2-40B4-BE49-F238E27FC236}">
              <a16:creationId xmlns:a16="http://schemas.microsoft.com/office/drawing/2014/main" id="{B70C2398-3FDA-99FE-FC6B-36E6383515C4}"/>
            </a:ext>
          </a:extLst>
        </xdr:cNvPr>
        <xdr:cNvSpPr txBox="1"/>
      </xdr:nvSpPr>
      <xdr:spPr>
        <a:xfrm>
          <a:off x="5224097" y="1412630"/>
          <a:ext cx="1567962" cy="104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baseline="0"/>
            <a:t>Patient Attendance Status</a:t>
          </a:r>
          <a:endParaRPr lang="en-IN" sz="800" b="1"/>
        </a:p>
      </xdr:txBody>
    </xdr:sp>
    <xdr:clientData/>
  </xdr:twoCellAnchor>
  <xdr:twoCellAnchor>
    <xdr:from>
      <xdr:col>11</xdr:col>
      <xdr:colOff>205155</xdr:colOff>
      <xdr:row>0</xdr:row>
      <xdr:rowOff>0</xdr:rowOff>
    </xdr:from>
    <xdr:to>
      <xdr:col>13</xdr:col>
      <xdr:colOff>520211</xdr:colOff>
      <xdr:row>7</xdr:row>
      <xdr:rowOff>175847</xdr:rowOff>
    </xdr:to>
    <xdr:graphicFrame macro="">
      <xdr:nvGraphicFramePr>
        <xdr:cNvPr id="83" name="Chart 82">
          <a:extLst>
            <a:ext uri="{FF2B5EF4-FFF2-40B4-BE49-F238E27FC236}">
              <a16:creationId xmlns:a16="http://schemas.microsoft.com/office/drawing/2014/main" id="{D83CF712-829D-4B06-8EA6-605687BCA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232995</xdr:colOff>
      <xdr:row>7</xdr:row>
      <xdr:rowOff>77665</xdr:rowOff>
    </xdr:from>
    <xdr:to>
      <xdr:col>13</xdr:col>
      <xdr:colOff>498231</xdr:colOff>
      <xdr:row>8</xdr:row>
      <xdr:rowOff>14654</xdr:rowOff>
    </xdr:to>
    <xdr:sp macro="" textlink="">
      <xdr:nvSpPr>
        <xdr:cNvPr id="84" name="TextBox 83">
          <a:extLst>
            <a:ext uri="{FF2B5EF4-FFF2-40B4-BE49-F238E27FC236}">
              <a16:creationId xmlns:a16="http://schemas.microsoft.com/office/drawing/2014/main" id="{96BB1673-0EC8-DDB2-6BA5-43E7113D29C3}"/>
            </a:ext>
          </a:extLst>
        </xdr:cNvPr>
        <xdr:cNvSpPr txBox="1"/>
      </xdr:nvSpPr>
      <xdr:spPr>
        <a:xfrm>
          <a:off x="6841880" y="1411165"/>
          <a:ext cx="1481505" cy="127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b="0" baseline="0"/>
            <a:t>No. of Patient by Gender</a:t>
          </a:r>
          <a:endParaRPr lang="en-IN" sz="800" b="1"/>
        </a:p>
      </xdr:txBody>
    </xdr:sp>
    <xdr:clientData/>
  </xdr:twoCellAnchor>
  <xdr:twoCellAnchor>
    <xdr:from>
      <xdr:col>8</xdr:col>
      <xdr:colOff>439616</xdr:colOff>
      <xdr:row>8</xdr:row>
      <xdr:rowOff>43962</xdr:rowOff>
    </xdr:from>
    <xdr:to>
      <xdr:col>13</xdr:col>
      <xdr:colOff>527539</xdr:colOff>
      <xdr:row>18</xdr:row>
      <xdr:rowOff>0</xdr:rowOff>
    </xdr:to>
    <xdr:graphicFrame macro="">
      <xdr:nvGraphicFramePr>
        <xdr:cNvPr id="85" name="Chart 84">
          <a:extLst>
            <a:ext uri="{FF2B5EF4-FFF2-40B4-BE49-F238E27FC236}">
              <a16:creationId xmlns:a16="http://schemas.microsoft.com/office/drawing/2014/main" id="{D534D34F-B827-4344-A644-91C9178DB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443767</xdr:colOff>
      <xdr:row>17</xdr:row>
      <xdr:rowOff>181886</xdr:rowOff>
    </xdr:from>
    <xdr:to>
      <xdr:col>12</xdr:col>
      <xdr:colOff>446694</xdr:colOff>
      <xdr:row>18</xdr:row>
      <xdr:rowOff>174561</xdr:rowOff>
    </xdr:to>
    <xdr:sp macro="" textlink="">
      <xdr:nvSpPr>
        <xdr:cNvPr id="86" name="TextBox 85">
          <a:extLst>
            <a:ext uri="{FF2B5EF4-FFF2-40B4-BE49-F238E27FC236}">
              <a16:creationId xmlns:a16="http://schemas.microsoft.com/office/drawing/2014/main" id="{294E48E9-0B7F-5914-657C-F1DF5E7766EF}"/>
            </a:ext>
          </a:extLst>
        </xdr:cNvPr>
        <xdr:cNvSpPr txBox="1"/>
      </xdr:nvSpPr>
      <xdr:spPr>
        <a:xfrm>
          <a:off x="5841267" y="3376325"/>
          <a:ext cx="1830172" cy="180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b"/>
        <a:lstStyle/>
        <a:p>
          <a:pPr algn="ctr"/>
          <a:r>
            <a:rPr lang="en-IN" sz="800" b="0" baseline="0">
              <a:solidFill>
                <a:sysClr val="windowText" lastClr="000000"/>
              </a:solidFill>
            </a:rPr>
            <a:t> No. of Patient By Department Refferal</a:t>
          </a:r>
          <a:endParaRPr lang="en-IN" sz="800" b="0">
            <a:solidFill>
              <a:sysClr val="windowText" lastClr="000000"/>
            </a:solidFill>
          </a:endParaRPr>
        </a:p>
      </xdr:txBody>
    </xdr:sp>
    <xdr:clientData/>
  </xdr:twoCellAnchor>
  <xdr:twoCellAnchor editAs="oneCell">
    <xdr:from>
      <xdr:col>6</xdr:col>
      <xdr:colOff>468923</xdr:colOff>
      <xdr:row>0</xdr:row>
      <xdr:rowOff>183172</xdr:rowOff>
    </xdr:from>
    <xdr:to>
      <xdr:col>8</xdr:col>
      <xdr:colOff>388680</xdr:colOff>
      <xdr:row>2</xdr:row>
      <xdr:rowOff>131885</xdr:rowOff>
    </xdr:to>
    <mc:AlternateContent xmlns:mc="http://schemas.openxmlformats.org/markup-compatibility/2006" xmlns:a14="http://schemas.microsoft.com/office/drawing/2010/main">
      <mc:Choice Requires="a14">
        <xdr:graphicFrame macro="">
          <xdr:nvGraphicFramePr>
            <xdr:cNvPr id="87" name="Date (Year)">
              <a:extLst>
                <a:ext uri="{FF2B5EF4-FFF2-40B4-BE49-F238E27FC236}">
                  <a16:creationId xmlns:a16="http://schemas.microsoft.com/office/drawing/2014/main" id="{C7C102F8-9DE8-4BEE-BFCC-45308D2E79AB}"/>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037135" y="183172"/>
              <a:ext cx="1136026" cy="329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446943</xdr:colOff>
      <xdr:row>0</xdr:row>
      <xdr:rowOff>35168</xdr:rowOff>
    </xdr:from>
    <xdr:to>
      <xdr:col>8</xdr:col>
      <xdr:colOff>388328</xdr:colOff>
      <xdr:row>1</xdr:row>
      <xdr:rowOff>27842</xdr:rowOff>
    </xdr:to>
    <xdr:sp macro="" textlink="">
      <xdr:nvSpPr>
        <xdr:cNvPr id="88" name="TextBox 87">
          <a:extLst>
            <a:ext uri="{FF2B5EF4-FFF2-40B4-BE49-F238E27FC236}">
              <a16:creationId xmlns:a16="http://schemas.microsoft.com/office/drawing/2014/main" id="{75643218-41FE-9C68-2129-101B1E16E541}"/>
            </a:ext>
          </a:extLst>
        </xdr:cNvPr>
        <xdr:cNvSpPr txBox="1"/>
      </xdr:nvSpPr>
      <xdr:spPr>
        <a:xfrm>
          <a:off x="4015155" y="35168"/>
          <a:ext cx="1157654" cy="18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aseline="0"/>
            <a:t> Select Year</a:t>
          </a:r>
          <a:endParaRPr lang="en-IN" sz="1000" b="1"/>
        </a:p>
      </xdr:txBody>
    </xdr:sp>
    <xdr:clientData/>
  </xdr:twoCellAnchor>
  <xdr:twoCellAnchor editAs="absolute">
    <xdr:from>
      <xdr:col>0</xdr:col>
      <xdr:colOff>77755</xdr:colOff>
      <xdr:row>3</xdr:row>
      <xdr:rowOff>49026</xdr:rowOff>
    </xdr:from>
    <xdr:to>
      <xdr:col>1</xdr:col>
      <xdr:colOff>272141</xdr:colOff>
      <xdr:row>4</xdr:row>
      <xdr:rowOff>41699</xdr:rowOff>
    </xdr:to>
    <xdr:sp macro="" textlink="">
      <xdr:nvSpPr>
        <xdr:cNvPr id="3" name="TextBox 2">
          <a:extLst>
            <a:ext uri="{FF2B5EF4-FFF2-40B4-BE49-F238E27FC236}">
              <a16:creationId xmlns:a16="http://schemas.microsoft.com/office/drawing/2014/main" id="{F2CCF191-5175-1792-AD9E-1EA49324AA4D}"/>
            </a:ext>
          </a:extLst>
        </xdr:cNvPr>
        <xdr:cNvSpPr txBox="1"/>
      </xdr:nvSpPr>
      <xdr:spPr>
        <a:xfrm>
          <a:off x="77755" y="612750"/>
          <a:ext cx="803468" cy="180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00" b="1" baseline="0"/>
            <a:t> Months</a:t>
          </a:r>
          <a:endParaRPr lang="en-IN" sz="10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149680</xdr:colOff>
      <xdr:row>1</xdr:row>
      <xdr:rowOff>162098</xdr:rowOff>
    </xdr:from>
    <xdr:to>
      <xdr:col>18</xdr:col>
      <xdr:colOff>216354</xdr:colOff>
      <xdr:row>27</xdr:row>
      <xdr:rowOff>27214</xdr:rowOff>
    </xdr:to>
    <xdr:graphicFrame macro="">
      <xdr:nvGraphicFramePr>
        <xdr:cNvPr id="2" name="Chart 1">
          <a:extLst>
            <a:ext uri="{FF2B5EF4-FFF2-40B4-BE49-F238E27FC236}">
              <a16:creationId xmlns:a16="http://schemas.microsoft.com/office/drawing/2014/main" id="{616682E1-FC5B-412D-B67E-B04E26CD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0.00617</cdr:x>
      <cdr:y>0.02102</cdr:y>
    </cdr:from>
    <cdr:to>
      <cdr:x>0.06047</cdr:x>
      <cdr:y>0.14983</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5A03357-152D-32B0-8D65-48DA1A7B9E8F}"/>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7996" y="104339"/>
          <a:ext cx="598459" cy="63937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109580</xdr:colOff>
      <xdr:row>1</xdr:row>
      <xdr:rowOff>33716</xdr:rowOff>
    </xdr:from>
    <xdr:to>
      <xdr:col>17</xdr:col>
      <xdr:colOff>59447</xdr:colOff>
      <xdr:row>24</xdr:row>
      <xdr:rowOff>75863</xdr:rowOff>
    </xdr:to>
    <xdr:graphicFrame macro="">
      <xdr:nvGraphicFramePr>
        <xdr:cNvPr id="2" name="Chart 1">
          <a:extLst>
            <a:ext uri="{FF2B5EF4-FFF2-40B4-BE49-F238E27FC236}">
              <a16:creationId xmlns:a16="http://schemas.microsoft.com/office/drawing/2014/main" id="{A7D3E7A7-6928-40E8-96C9-AF0FDD5C6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156098</xdr:colOff>
      <xdr:row>1</xdr:row>
      <xdr:rowOff>172269</xdr:rowOff>
    </xdr:from>
    <xdr:to>
      <xdr:col>1</xdr:col>
      <xdr:colOff>150903</xdr:colOff>
      <xdr:row>5</xdr:row>
      <xdr:rowOff>39144</xdr:rowOff>
    </xdr:to>
    <xdr:pic>
      <xdr:nvPicPr>
        <xdr:cNvPr id="4" name="Graphic 3" descr="Work from home Wi-Fi with solid fill">
          <a:hlinkClick xmlns:r="http://schemas.openxmlformats.org/officeDocument/2006/relationships" r:id="rId2"/>
          <a:extLst>
            <a:ext uri="{FF2B5EF4-FFF2-40B4-BE49-F238E27FC236}">
              <a16:creationId xmlns:a16="http://schemas.microsoft.com/office/drawing/2014/main" id="{CC0C9E4F-B022-A772-0241-971A328C015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6098" y="367988"/>
          <a:ext cx="608058" cy="6497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180976</xdr:colOff>
      <xdr:row>1</xdr:row>
      <xdr:rowOff>0</xdr:rowOff>
    </xdr:from>
    <xdr:to>
      <xdr:col>17</xdr:col>
      <xdr:colOff>47626</xdr:colOff>
      <xdr:row>24</xdr:row>
      <xdr:rowOff>19050</xdr:rowOff>
    </xdr:to>
    <xdr:graphicFrame macro="">
      <xdr:nvGraphicFramePr>
        <xdr:cNvPr id="2" name="Chart 1">
          <a:extLst>
            <a:ext uri="{FF2B5EF4-FFF2-40B4-BE49-F238E27FC236}">
              <a16:creationId xmlns:a16="http://schemas.microsoft.com/office/drawing/2014/main" id="{DCFC4955-DD86-4AB6-9D34-8A3CC1AC8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0.0034</cdr:x>
      <cdr:y>0.04314</cdr:y>
    </cdr:from>
    <cdr:to>
      <cdr:x>0.05568</cdr:x>
      <cdr:y>0.1684</cdr:y>
    </cdr:to>
    <cdr:pic>
      <cdr:nvPicPr>
        <cdr:cNvPr id="3" name="Graphic 2" descr="Work from home Wi-Fi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17601CD-E824-3301-5C7D-9BF0F659EB1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34838" y="199431"/>
          <a:ext cx="535685" cy="579052"/>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899074075" createdVersion="5" refreshedVersion="8" minRefreshableVersion="3" recordCount="0" supportSubquery="1" supportAdvancedDrill="1" xr:uid="{3FEDD17D-04AA-4149-BA44-97557D755F1E}">
  <cacheSource type="external" connectionId="3"/>
  <cacheFields count="3">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Distinct Count of Patient Id]" caption="Distinct Count of Patient Id" numFmtId="0" hierarchy="24" level="32767"/>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899189814" createdVersion="5" refreshedVersion="8" minRefreshableVersion="3" recordCount="0" supportSubquery="1" supportAdvancedDrill="1" xr:uid="{064825AD-E59F-42FF-B9B7-8FD1E7BC687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899421299" createdVersion="5" refreshedVersion="8" minRefreshableVersion="3" recordCount="0" supportSubquery="1" supportAdvancedDrill="1" xr:uid="{F5F35BE2-FF94-4053-B967-33999ADD7EFD}">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899652776" createdVersion="5" refreshedVersion="8" minRefreshableVersion="3" recordCount="0" supportSubquery="1" supportAdvancedDrill="1" xr:uid="{76EFA198-0318-4954-8BD0-9D6917432798}">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900231484" createdVersion="5" refreshedVersion="8" minRefreshableVersion="3" recordCount="0" supportSubquery="1" supportAdvancedDrill="1" xr:uid="{2E1EB269-1D47-4A41-810D-72522B4E0044}">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900694446" createdVersion="5" refreshedVersion="8" minRefreshableVersion="3" recordCount="0" supportSubquery="1" supportAdvancedDrill="1" xr:uid="{5C0962ED-D3AC-4D37-B85F-CEA3774F4B2A}">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901273146" createdVersion="5" refreshedVersion="8" minRefreshableVersion="3" recordCount="0" supportSubquery="1" supportAdvancedDrill="1" xr:uid="{45FE7A09-2E9C-4D36-9316-64A2A4F9CE61}">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2" level="32767">
      <extLst>
        <ext xmlns:x14="http://schemas.microsoft.com/office/spreadsheetml/2009/9/main" uri="{63CAB8AC-B538-458d-9737-405883B0398D}">
          <x14:cacheField ignore="1"/>
        </ext>
      </extLst>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901620369" createdVersion="5" refreshedVersion="8" minRefreshableVersion="3" recordCount="0" supportSubquery="1" supportAdvancedDrill="1" xr:uid="{653CDDB9-AD2D-4ED6-9748-F9252133F35E}">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902083331" createdVersion="5" refreshedVersion="8" minRefreshableVersion="3" recordCount="0" supportSubquery="1" supportAdvancedDrill="1" xr:uid="{08EFF944-8750-4824-93E7-E66B083CBE81}">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ance Status].[Patient Attendance Status]" caption="Patient Attendance Status" numFmtId="0" hierarchy="17" level="1">
      <sharedItems count="2">
        <s v="Delay"/>
        <s v="On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902430555" createdVersion="5" refreshedVersion="8" minRefreshableVersion="3" recordCount="0" supportSubquery="1" supportAdvancedDrill="1" xr:uid="{8F48F9EB-5BBC-47E9-A59F-311E66132330}">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902777778" createdVersion="5" refreshedVersion="8" minRefreshableVersion="3" recordCount="0" supportSubquery="1" supportAdvancedDrill="1" xr:uid="{56E0B5B7-1E7A-4D71-B19E-1D452278374C}">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30.500902777778" createdVersion="5" refreshedVersion="8" minRefreshableVersion="3" recordCount="0" supportSubquery="1" supportAdvancedDrill="1" xr:uid="{D44588E2-449A-483A-B82B-DF2F3DDBE3EB}">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s>
  <cacheHierarchies count="32">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Shrivastav" refreshedDate="46129.618986226851" createdVersion="3" refreshedVersion="8" minRefreshableVersion="3" recordCount="0" supportSubquery="1" supportAdvancedDrill="1" xr:uid="{68090B95-F291-4839-B405-2F62ED981FAA}">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ance Status]" caption="Patient Attendance Status" attribute="1" defaultMemberUniqueName="[Hospital Emergency Room Data].[Patient Attendance Status].[All]" allUniqueName="[Hospital Emergency Room Data].[Patient Attendance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049231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959468-0702-4CA5-9CD7-1CE443FD0928}" name="PivotTable9" cacheId="894" applyNumberFormats="0" applyBorderFormats="0" applyFontFormats="0" applyPatternFormats="0" applyAlignmentFormats="0" applyWidthHeightFormats="1" dataCaption="Values" tag="f2e08852-41f7-46a4-a918-dee88f05ba1d" updatedVersion="8" minRefreshableVersion="3" subtotalHiddenItems="1" itemPrintTitles="1" createdVersion="5" indent="0" outline="1" outlineData="1" multipleFieldFilters="0" chartFormat="17">
  <location ref="A13:C1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2">
      <pivotArea outline="0" collapsedLevelsAreSubtotals="1" fieldPosition="0"/>
    </format>
    <format dxfId="1">
      <pivotArea collapsedLevelsAreSubtotals="1" fieldPosition="0">
        <references count="1">
          <reference field="2" count="0"/>
        </references>
      </pivotArea>
    </format>
    <format dxfId="0">
      <pivotArea outline="0" fieldPosition="0">
        <references count="1">
          <reference field="4294967294" count="1">
            <x v="1"/>
          </reference>
        </references>
      </pivotArea>
    </format>
  </formats>
  <chartFormats count="2">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Hierarchies count="33">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EABC94-F62B-43C7-851D-48E7AD9F3A55}" name="PivotTable8" cacheId="893" applyNumberFormats="0" applyBorderFormats="0" applyFontFormats="0" applyPatternFormats="0" applyAlignmentFormats="0" applyWidthHeightFormats="1" dataCaption="Values" tag="d9d13ddd-ba0c-4bcb-8ac0-681220abb4bc" updatedVersion="8" minRefreshableVersion="3" subtotalHiddenItems="1" itemPrintTitles="1" createdVersion="5" indent="0" outline="1" outlineData="1" multipleFieldFilters="0" chartFormat="30">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3">
      <pivotArea outline="0" collapsedLevelsAreSubtotals="1" fieldPosition="0"/>
    </format>
  </formats>
  <chartFormats count="2">
    <chartFormat chart="24" format="2"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FB1C8D-1764-4032-9C3F-80C72049765D}" name="PivotTable15" cacheId="899" applyNumberFormats="0" applyBorderFormats="0" applyFontFormats="0" applyPatternFormats="0" applyAlignmentFormats="0" applyWidthHeightFormats="1" dataCaption="Values" tag="082a0fad-02d3-4653-a8cc-7f5f427a8b78" updatedVersion="8" minRefreshableVersion="3" subtotalHiddenItems="1" itemPrintTitles="1" createdVersion="5" indent="0" outline="1" outlineData="1" multipleFieldFilters="0" chartFormat="45">
  <location ref="A73:C90" firstHeaderRow="1" firstDataRow="1" firstDataCol="0"/>
  <pivotFields count="2">
    <pivotField allDrilled="1" subtotalTop="0" showAll="0" dataSourceSort="1" defaultSubtotal="0" defaultAttributeDrillState="1"/>
    <pivotField allDrilled="1" subtotalTop="0" showAll="0" dataSourceSort="1" defaultSubtotal="0" defaultAttributeDrillState="1">
      <items count="1">
        <item x="0"/>
      </items>
    </pivotField>
  </pivotFields>
  <formats count="2">
    <format dxfId="5">
      <pivotArea outline="0" collapsedLevelsAreSubtotals="1" fieldPosition="0"/>
    </format>
    <format dxfId="4">
      <pivotArea grandRow="1" outline="0" collapsedLevelsAreSubtotals="1" fieldPosition="0"/>
    </format>
  </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ADD4A4-89C6-4AD5-8A72-35CABBB0C2BA}" name="PivotTable13" cacheId="897" applyNumberFormats="0" applyBorderFormats="0" applyFontFormats="0" applyPatternFormats="0" applyAlignmentFormats="0" applyWidthHeightFormats="1" dataCaption="Values" tag="445db51a-cc58-48f4-b188-bebcd021c4ed" updatedVersion="8" minRefreshableVersion="3" subtotalHiddenItems="1" itemPrintTitles="1" createdVersion="5" indent="0" outline="1" outlineData="1" multipleFieldFilters="0" chartFormat="49">
  <location ref="A57:B6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3">
    <format dxfId="8">
      <pivotArea outline="0" collapsedLevelsAreSubtotals="1" fieldPosition="0"/>
    </format>
    <format dxfId="7">
      <pivotArea grandRow="1" outline="0" collapsedLevelsAreSubtotals="1" fieldPosition="0"/>
    </format>
    <format dxfId="6">
      <pivotArea collapsedLevelsAreSubtotals="1" fieldPosition="0">
        <references count="1">
          <reference field="2" count="0"/>
        </references>
      </pivotArea>
    </format>
  </formats>
  <chartFormats count="6">
    <chartFormat chart="21" format="4"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37" format="5">
      <pivotArea type="data" outline="0" fieldPosition="0">
        <references count="2">
          <reference field="4294967294" count="1" selected="0">
            <x v="0"/>
          </reference>
          <reference field="2" count="1" selected="0">
            <x v="0"/>
          </reference>
        </references>
      </pivotArea>
    </chartFormat>
    <chartFormat chart="37" format="6">
      <pivotArea type="data" outline="0" fieldPosition="0">
        <references count="2">
          <reference field="4294967294" count="1" selected="0">
            <x v="0"/>
          </reference>
          <reference field="2" count="1" selected="0">
            <x v="1"/>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1B53FC-C6DF-4B19-89A6-F5F6F3253B12}" name="PivotTable10" cacheId="895" applyNumberFormats="0" applyBorderFormats="0" applyFontFormats="0" applyPatternFormats="0" applyAlignmentFormats="0" applyWidthHeightFormats="1" dataCaption="Values" tag="9925cde9-2d07-435c-8e09-79c168e8e259" updatedVersion="8" minRefreshableVersion="3" subtotalHiddenItems="1" itemPrintTitles="1" createdVersion="5" indent="0" outline="1" outlineData="1" multipleFieldFilters="0" chartFormat="19">
  <location ref="A41:B5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3">
    <format dxfId="11">
      <pivotArea outline="0" collapsedLevelsAreSubtotals="1" fieldPosition="0"/>
    </format>
    <format dxfId="10">
      <pivotArea collapsedLevelsAreSubtotals="1" fieldPosition="0">
        <references count="1">
          <reference field="2" count="0"/>
        </references>
      </pivotArea>
    </format>
    <format dxfId="9">
      <pivotArea grandRow="1" outline="0" collapsedLevelsAreSubtotals="1" fieldPosition="0"/>
    </format>
  </formats>
  <chartFormats count="1">
    <chartFormat chart="17"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299C26-86CC-4D97-A503-E5DDEDEA861F}" name="PivotTable4" cacheId="888" applyNumberFormats="0" applyBorderFormats="0" applyFontFormats="0" applyPatternFormats="0" applyAlignmentFormats="0" applyWidthHeightFormats="1" dataCaption="Values" tag="0dd7cd3f-e868-42a1-afd1-fa00753482b0" updatedVersion="8" minRefreshableVersion="3" subtotalHiddenItems="1" itemPrintTitles="1" createdVersion="5" indent="0" outline="1" outlineData="1" multipleFieldFilters="0" chartFormat="13">
  <location ref="D4:E35" firstHeaderRow="1" firstDataRow="1" firstDataCol="1"/>
  <pivotFields count="3">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2" subtotal="count" baseField="0" baseItem="0">
      <extLst>
        <ext xmlns:x15="http://schemas.microsoft.com/office/spreadsheetml/2010/11/main" uri="{FABC7310-3BB5-11E1-824E-6D434824019B}">
          <x15:dataField isCountDistinct="1"/>
        </ext>
      </extLst>
    </dataField>
  </dataFields>
  <chartFormats count="3">
    <chartFormat chart="3" format="2"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8DD031-F5A7-4412-AF89-EF17955A6252}" name="PivotTable3" cacheId="891" applyNumberFormats="0" applyBorderFormats="0" applyFontFormats="0" applyPatternFormats="0" applyAlignmentFormats="0" applyWidthHeightFormats="1" dataCaption="Values" tag="08527f30-56e4-4786-af81-cb05898aaf83"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
      <pivotArea outline="0" collapsedLevelsAreSubtotals="1" fieldPosition="0"/>
    </format>
  </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7B5F19-A955-4187-8A54-34D2F36E1B19}" name="PivotTable2" cacheId="890" applyNumberFormats="0" applyBorderFormats="0" applyFontFormats="0" applyPatternFormats="0" applyAlignmentFormats="0" applyWidthHeightFormats="1" dataCaption="Values" tag="a14b3c47-1dc1-4411-ace3-1ec7643bda68"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3">
      <pivotArea outline="0" collapsedLevelsAreSubtotals="1" fieldPosition="0"/>
    </format>
  </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FB5395-0186-478C-A9AA-EB3D03122D68}" name="PivotTable6" cacheId="892" applyNumberFormats="0" applyBorderFormats="0" applyFontFormats="0" applyPatternFormats="0" applyAlignmentFormats="0" applyWidthHeightFormats="1" dataCaption="Values" tag="9cf8a043-0288-426c-afd0-ea993ab710b0" updatedVersion="8" minRefreshableVersion="3" subtotalHiddenItems="1" itemPrintTitles="1" createdVersion="5" indent="0" outline="1" outlineData="1" multipleFieldFilters="0" chartFormat="21">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4">
      <pivotArea outline="0" collapsedLevelsAreSubtotals="1" fieldPosition="0"/>
    </format>
  </formats>
  <chartFormats count="2">
    <chartFormat chart="16" format="2"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1DC62B-5D3A-4C29-A6D0-20CC132314C9}" name="PivotTable11" cacheId="896" applyNumberFormats="0" applyBorderFormats="0" applyFontFormats="0" applyPatternFormats="0" applyAlignmentFormats="0" applyWidthHeightFormats="1" dataCaption="Values" tag="642643ff-4bee-4c06-83b7-8c29aca96c42" updatedVersion="8" minRefreshableVersion="3" subtotalHiddenItems="1" itemPrintTitles="1" createdVersion="5" indent="0" outline="1" outlineData="1" multipleFieldFilters="0" chartFormat="42">
  <location ref="A52:B55" firstHeaderRow="1" firstDataRow="1" firstDataCol="1"/>
  <pivotFields count="4">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2">
    <format dxfId="16">
      <pivotArea outline="0" collapsedLevelsAreSubtotals="1" fieldPosition="0"/>
    </format>
    <format dxfId="15">
      <pivotArea grandRow="1" outline="0" collapsedLevelsAreSubtotals="1" fieldPosition="0"/>
    </format>
  </formats>
  <chartFormats count="3">
    <chartFormat chart="32" format="4" series="1">
      <pivotArea type="data" outline="0" fieldPosition="0">
        <references count="1">
          <reference field="4294967294" count="1" selected="0">
            <x v="0"/>
          </reference>
        </references>
      </pivotArea>
    </chartFormat>
    <chartFormat chart="32" format="5">
      <pivotArea type="data" outline="0" fieldPosition="0">
        <references count="2">
          <reference field="4294967294" count="1" selected="0">
            <x v="0"/>
          </reference>
          <reference field="1" count="1" selected="0">
            <x v="0"/>
          </reference>
        </references>
      </pivotArea>
    </chartFormat>
    <chartFormat chart="32"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725C1F0-E373-4255-BC04-3D69C2D7FC6E}" name="PivotTable14" cacheId="898" applyNumberFormats="0" applyBorderFormats="0" applyFontFormats="0" applyPatternFormats="0" applyAlignmentFormats="0" applyWidthHeightFormats="1" dataCaption="Values" tag="5a547f07-224b-4cbc-a2e5-6a06d0ac1e9f" updatedVersion="8" minRefreshableVersion="3" subtotalHiddenItems="1" itemPrintTitles="1" createdVersion="5" indent="0" outline="1" outlineData="1" multipleFieldFilters="0" chartFormat="54">
  <location ref="A62:B7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3">
    <format dxfId="19">
      <pivotArea outline="0" collapsedLevelsAreSubtotals="1" fieldPosition="0"/>
    </format>
    <format dxfId="18">
      <pivotArea grandRow="1" outline="0" collapsedLevelsAreSubtotals="1" fieldPosition="0"/>
    </format>
    <format dxfId="17">
      <pivotArea collapsedLevelsAreSubtotals="1" fieldPosition="0">
        <references count="1">
          <reference field="1" count="0"/>
        </references>
      </pivotArea>
    </format>
  </formats>
  <chartFormats count="1">
    <chartFormat chart="45" format="3"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F05B4FD-E720-471D-8035-07F7A30CC4F5}" name="PivotTable1" cacheId="889" applyNumberFormats="0" applyBorderFormats="0" applyFontFormats="0" applyPatternFormats="0" applyAlignmentFormats="0" applyWidthHeightFormats="1" dataCaption="Values" tag="f29eeb47-d1a0-4f9f-bb84-fbb165b0d7e6"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DDB41A9-3B1A-4B87-AB28-516797E29FA2}" sourceName="[Calendar_Table].[Date (Month)]">
  <pivotTables>
    <pivotTable tabId="1" name="PivotTable4"/>
    <pivotTable tabId="1" name="PivotTable1"/>
    <pivotTable tabId="1" name="PivotTable2"/>
    <pivotTable tabId="1" name="PivotTable3"/>
    <pivotTable tabId="1" name="PivotTable6"/>
    <pivotTable tabId="1" name="PivotTable8"/>
    <pivotTable tabId="1" name="PivotTable9"/>
    <pivotTable tabId="1" name="PivotTable10"/>
    <pivotTable tabId="1" name="PivotTable11"/>
    <pivotTable tabId="1" name="PivotTable13"/>
    <pivotTable tabId="1" name="PivotTable14"/>
    <pivotTable tabId="1" name="PivotTable15"/>
  </pivotTables>
  <data>
    <olap pivotCacheId="130492315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4CDB365-1E7E-44FE-B9A0-DE6EB1E9D9D5}" sourceName="[Calendar_Table].[Date (Year)]">
  <pivotTables>
    <pivotTable tabId="1" name="PivotTable15"/>
    <pivotTable tabId="1" name="PivotTable1"/>
    <pivotTable tabId="1" name="PivotTable10"/>
    <pivotTable tabId="1" name="PivotTable11"/>
    <pivotTable tabId="1" name="PivotTable13"/>
    <pivotTable tabId="1" name="PivotTable14"/>
    <pivotTable tabId="1" name="PivotTable2"/>
    <pivotTable tabId="1" name="PivotTable3"/>
    <pivotTable tabId="1" name="PivotTable6"/>
    <pivotTable tabId="1" name="PivotTable8"/>
    <pivotTable tabId="1" name="PivotTable9"/>
  </pivotTables>
  <data>
    <olap pivotCacheId="130492315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AF579EB6-A567-470B-ADD4-24DB7507E06C}" cache="Slicer_Date__Month" caption="Date (Month)" showCaption="0" level="1" style="SlicerStyleDark2 2" rowHeight="180000"/>
  <slicer name="Date (Year)" xr10:uid="{3561CC53-A681-4365-8257-FB0EB26F58F6}" cache="Slicer_Date__Year" caption="Date (Year)" columnCount="2" showCaption="0" level="1" style="SlicerStyleDark2 2"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D4D69-3F71-4F4F-A341-9E07404AA1E4}">
  <dimension ref="A3:L90"/>
  <sheetViews>
    <sheetView topLeftCell="A66" zoomScale="130" zoomScaleNormal="130" workbookViewId="0">
      <selection activeCell="A74" sqref="A74"/>
    </sheetView>
  </sheetViews>
  <sheetFormatPr defaultRowHeight="15" x14ac:dyDescent="0.25"/>
  <cols>
    <col min="1" max="1" width="17.85546875" customWidth="1"/>
    <col min="2" max="2" width="15.5703125" customWidth="1"/>
    <col min="3" max="3" width="15.28515625" customWidth="1"/>
    <col min="4" max="4" width="22.140625" customWidth="1"/>
    <col min="5" max="5" width="26" bestFit="1" customWidth="1"/>
    <col min="8" max="8" width="16.7109375" bestFit="1" customWidth="1"/>
    <col min="9" max="9" width="26" bestFit="1" customWidth="1"/>
    <col min="11" max="11" width="16.85546875" bestFit="1" customWidth="1"/>
    <col min="12" max="12" width="34.85546875" bestFit="1" customWidth="1"/>
    <col min="13" max="13" width="8.7109375" customWidth="1"/>
  </cols>
  <sheetData>
    <row r="3" spans="1:12" x14ac:dyDescent="0.25">
      <c r="A3" t="s">
        <v>2</v>
      </c>
      <c r="D3" t="s">
        <v>7</v>
      </c>
      <c r="H3" t="s">
        <v>8</v>
      </c>
      <c r="K3" t="s">
        <v>11</v>
      </c>
    </row>
    <row r="4" spans="1:12" x14ac:dyDescent="0.25">
      <c r="A4" t="s">
        <v>1</v>
      </c>
      <c r="D4" s="1" t="s">
        <v>5</v>
      </c>
      <c r="E4" t="s">
        <v>1</v>
      </c>
      <c r="H4" s="1" t="s">
        <v>5</v>
      </c>
      <c r="I4" t="s">
        <v>3</v>
      </c>
      <c r="K4" s="1" t="s">
        <v>5</v>
      </c>
      <c r="L4" t="s">
        <v>4</v>
      </c>
    </row>
    <row r="5" spans="1:12" x14ac:dyDescent="0.25">
      <c r="A5">
        <v>479</v>
      </c>
      <c r="D5" s="4" t="s">
        <v>44</v>
      </c>
      <c r="E5">
        <v>31</v>
      </c>
      <c r="H5" s="4" t="s">
        <v>44</v>
      </c>
      <c r="I5" s="2">
        <v>40.473684210526315</v>
      </c>
      <c r="K5" s="4" t="s">
        <v>44</v>
      </c>
      <c r="L5" s="2">
        <v>3.8</v>
      </c>
    </row>
    <row r="6" spans="1:12" x14ac:dyDescent="0.25">
      <c r="D6" s="4" t="s">
        <v>45</v>
      </c>
      <c r="E6">
        <v>32</v>
      </c>
      <c r="H6" s="4" t="s">
        <v>45</v>
      </c>
      <c r="I6" s="2">
        <v>29.46153846153846</v>
      </c>
      <c r="K6" s="4" t="s">
        <v>45</v>
      </c>
      <c r="L6" s="2">
        <v>7.75</v>
      </c>
    </row>
    <row r="7" spans="1:12" x14ac:dyDescent="0.25">
      <c r="A7" t="s">
        <v>3</v>
      </c>
      <c r="D7" s="4" t="s">
        <v>46</v>
      </c>
      <c r="E7">
        <v>31</v>
      </c>
      <c r="H7" s="4" t="s">
        <v>46</v>
      </c>
      <c r="I7" s="2">
        <v>33.928571428571431</v>
      </c>
      <c r="K7" s="4" t="s">
        <v>46</v>
      </c>
      <c r="L7" s="2">
        <v>4.5999999999999996</v>
      </c>
    </row>
    <row r="8" spans="1:12" x14ac:dyDescent="0.25">
      <c r="A8" s="2">
        <v>34.90187891440501</v>
      </c>
      <c r="D8" s="4" t="s">
        <v>47</v>
      </c>
      <c r="E8">
        <v>29</v>
      </c>
      <c r="H8" s="4" t="s">
        <v>47</v>
      </c>
      <c r="I8" s="2">
        <v>32.222222222222221</v>
      </c>
      <c r="K8" s="4" t="s">
        <v>47</v>
      </c>
      <c r="L8" s="2">
        <v>6</v>
      </c>
    </row>
    <row r="9" spans="1:12" x14ac:dyDescent="0.25">
      <c r="D9" s="4" t="s">
        <v>48</v>
      </c>
      <c r="E9">
        <v>34</v>
      </c>
      <c r="H9" s="4" t="s">
        <v>48</v>
      </c>
      <c r="I9" s="2">
        <v>35.736842105263158</v>
      </c>
      <c r="K9" s="4" t="s">
        <v>48</v>
      </c>
      <c r="L9" s="2">
        <v>5.5714285714285712</v>
      </c>
    </row>
    <row r="10" spans="1:12" x14ac:dyDescent="0.25">
      <c r="A10" t="s">
        <v>4</v>
      </c>
      <c r="D10" s="4" t="s">
        <v>49</v>
      </c>
      <c r="E10">
        <v>31</v>
      </c>
      <c r="H10" s="4" t="s">
        <v>49</v>
      </c>
      <c r="I10" s="2">
        <v>30.142857142857142</v>
      </c>
      <c r="K10" s="4" t="s">
        <v>49</v>
      </c>
      <c r="L10" s="2">
        <v>2</v>
      </c>
    </row>
    <row r="11" spans="1:12" x14ac:dyDescent="0.25">
      <c r="A11" s="2">
        <v>5.3034482758620687</v>
      </c>
      <c r="D11" s="4" t="s">
        <v>50</v>
      </c>
      <c r="E11">
        <v>27</v>
      </c>
      <c r="H11" s="4" t="s">
        <v>50</v>
      </c>
      <c r="I11" s="2">
        <v>33.81818181818182</v>
      </c>
      <c r="K11" s="4" t="s">
        <v>50</v>
      </c>
      <c r="L11" s="2">
        <v>8</v>
      </c>
    </row>
    <row r="12" spans="1:12" x14ac:dyDescent="0.25">
      <c r="D12" s="4" t="s">
        <v>51</v>
      </c>
      <c r="E12">
        <v>32</v>
      </c>
      <c r="H12" s="4" t="s">
        <v>51</v>
      </c>
      <c r="I12" s="2">
        <v>31.681818181818183</v>
      </c>
      <c r="K12" s="4" t="s">
        <v>51</v>
      </c>
      <c r="L12" s="2">
        <v>8</v>
      </c>
    </row>
    <row r="13" spans="1:12" x14ac:dyDescent="0.25">
      <c r="A13" s="1" t="s">
        <v>5</v>
      </c>
      <c r="B13" t="s">
        <v>13</v>
      </c>
      <c r="C13" t="s">
        <v>16</v>
      </c>
      <c r="D13" s="4" t="s">
        <v>52</v>
      </c>
      <c r="E13">
        <v>27</v>
      </c>
      <c r="H13" s="4" t="s">
        <v>52</v>
      </c>
      <c r="I13" s="2">
        <v>36.416666666666664</v>
      </c>
      <c r="K13" s="4" t="s">
        <v>52</v>
      </c>
      <c r="L13" s="2">
        <v>5.25</v>
      </c>
    </row>
    <row r="14" spans="1:12" x14ac:dyDescent="0.25">
      <c r="A14" s="4" t="s">
        <v>14</v>
      </c>
      <c r="B14" s="5">
        <v>237</v>
      </c>
      <c r="C14" s="6">
        <v>0.49478079331941544</v>
      </c>
      <c r="D14" s="4" t="s">
        <v>53</v>
      </c>
      <c r="E14">
        <v>27</v>
      </c>
      <c r="H14" s="4" t="s">
        <v>53</v>
      </c>
      <c r="I14" s="2">
        <v>33.692307692307693</v>
      </c>
      <c r="K14" s="4" t="s">
        <v>53</v>
      </c>
      <c r="L14" s="2">
        <v>6</v>
      </c>
    </row>
    <row r="15" spans="1:12" x14ac:dyDescent="0.25">
      <c r="A15" s="4" t="s">
        <v>15</v>
      </c>
      <c r="B15" s="5">
        <v>242</v>
      </c>
      <c r="C15" s="6">
        <v>0.50521920668058451</v>
      </c>
      <c r="D15" s="4" t="s">
        <v>54</v>
      </c>
      <c r="E15">
        <v>33</v>
      </c>
      <c r="H15" s="4" t="s">
        <v>54</v>
      </c>
      <c r="I15" s="2">
        <v>39.117647058823529</v>
      </c>
      <c r="K15" s="4" t="s">
        <v>54</v>
      </c>
      <c r="L15" s="2">
        <v>6.5</v>
      </c>
    </row>
    <row r="16" spans="1:12" x14ac:dyDescent="0.25">
      <c r="A16" s="4" t="s">
        <v>6</v>
      </c>
      <c r="B16" s="2">
        <v>479</v>
      </c>
      <c r="C16" s="6">
        <v>1</v>
      </c>
      <c r="D16" s="4" t="s">
        <v>55</v>
      </c>
      <c r="E16">
        <v>42</v>
      </c>
      <c r="H16" s="4" t="s">
        <v>55</v>
      </c>
      <c r="I16" s="2">
        <v>36.93333333333333</v>
      </c>
      <c r="K16" s="4" t="s">
        <v>55</v>
      </c>
      <c r="L16" s="2">
        <v>5.75</v>
      </c>
    </row>
    <row r="17" spans="4:12" x14ac:dyDescent="0.25">
      <c r="D17" s="4" t="s">
        <v>56</v>
      </c>
      <c r="E17">
        <v>25</v>
      </c>
      <c r="H17" s="4" t="s">
        <v>56</v>
      </c>
      <c r="I17" s="2">
        <v>29.923076923076923</v>
      </c>
      <c r="K17" s="4" t="s">
        <v>56</v>
      </c>
      <c r="L17" s="2">
        <v>5.6</v>
      </c>
    </row>
    <row r="18" spans="4:12" x14ac:dyDescent="0.25">
      <c r="D18" s="4" t="s">
        <v>57</v>
      </c>
      <c r="E18">
        <v>34</v>
      </c>
      <c r="H18" s="4" t="s">
        <v>57</v>
      </c>
      <c r="I18" s="2">
        <v>31.666666666666668</v>
      </c>
      <c r="K18" s="4" t="s">
        <v>57</v>
      </c>
      <c r="L18" s="2">
        <v>6.5</v>
      </c>
    </row>
    <row r="19" spans="4:12" x14ac:dyDescent="0.25">
      <c r="D19" s="4" t="s">
        <v>58</v>
      </c>
      <c r="E19">
        <v>32</v>
      </c>
      <c r="H19" s="4" t="s">
        <v>58</v>
      </c>
      <c r="I19" s="2">
        <v>40.25</v>
      </c>
      <c r="K19" s="4" t="s">
        <v>58</v>
      </c>
      <c r="L19" s="2">
        <v>5.666666666666667</v>
      </c>
    </row>
    <row r="20" spans="4:12" x14ac:dyDescent="0.25">
      <c r="D20" s="4" t="s">
        <v>59</v>
      </c>
      <c r="E20">
        <v>34</v>
      </c>
      <c r="H20" s="4" t="s">
        <v>59</v>
      </c>
      <c r="I20" s="2">
        <v>30</v>
      </c>
      <c r="K20" s="4" t="s">
        <v>59</v>
      </c>
      <c r="L20" s="2">
        <v>5.666666666666667</v>
      </c>
    </row>
    <row r="21" spans="4:12" x14ac:dyDescent="0.25">
      <c r="D21" s="4" t="s">
        <v>60</v>
      </c>
      <c r="E21">
        <v>26</v>
      </c>
      <c r="H21" s="4" t="s">
        <v>60</v>
      </c>
      <c r="I21" s="2">
        <v>35</v>
      </c>
      <c r="K21" s="4" t="s">
        <v>60</v>
      </c>
      <c r="L21" s="2">
        <v>5.8</v>
      </c>
    </row>
    <row r="22" spans="4:12" x14ac:dyDescent="0.25">
      <c r="D22" s="4" t="s">
        <v>61</v>
      </c>
      <c r="E22">
        <v>36</v>
      </c>
      <c r="H22" s="4" t="s">
        <v>61</v>
      </c>
      <c r="I22" s="2">
        <v>41.85</v>
      </c>
      <c r="K22" s="4" t="s">
        <v>61</v>
      </c>
      <c r="L22" s="2">
        <v>4.666666666666667</v>
      </c>
    </row>
    <row r="23" spans="4:12" x14ac:dyDescent="0.25">
      <c r="D23" s="4" t="s">
        <v>62</v>
      </c>
      <c r="E23">
        <v>31</v>
      </c>
      <c r="H23" s="4" t="s">
        <v>62</v>
      </c>
      <c r="I23" s="2">
        <v>33.277777777777779</v>
      </c>
      <c r="K23" s="4" t="s">
        <v>62</v>
      </c>
      <c r="L23" s="2">
        <v>4.833333333333333</v>
      </c>
    </row>
    <row r="24" spans="4:12" x14ac:dyDescent="0.25">
      <c r="D24" s="4" t="s">
        <v>63</v>
      </c>
      <c r="E24">
        <v>32</v>
      </c>
      <c r="H24" s="4" t="s">
        <v>63</v>
      </c>
      <c r="I24" s="2">
        <v>32.9375</v>
      </c>
      <c r="K24" s="4" t="s">
        <v>63</v>
      </c>
      <c r="L24" s="2">
        <v>2.3333333333333335</v>
      </c>
    </row>
    <row r="25" spans="4:12" x14ac:dyDescent="0.25">
      <c r="D25" s="4" t="s">
        <v>64</v>
      </c>
      <c r="E25">
        <v>33</v>
      </c>
      <c r="H25" s="4" t="s">
        <v>64</v>
      </c>
      <c r="I25" s="2">
        <v>33.266666666666666</v>
      </c>
      <c r="K25" s="4" t="s">
        <v>64</v>
      </c>
      <c r="L25" s="2">
        <v>4.5</v>
      </c>
    </row>
    <row r="26" spans="4:12" x14ac:dyDescent="0.25">
      <c r="D26" s="4" t="s">
        <v>65</v>
      </c>
      <c r="E26">
        <v>39</v>
      </c>
      <c r="H26" s="4" t="s">
        <v>65</v>
      </c>
      <c r="I26" s="2">
        <v>34.444444444444443</v>
      </c>
      <c r="K26" s="4" t="s">
        <v>65</v>
      </c>
      <c r="L26" s="2">
        <v>6.666666666666667</v>
      </c>
    </row>
    <row r="27" spans="4:12" x14ac:dyDescent="0.25">
      <c r="D27" s="4" t="s">
        <v>66</v>
      </c>
      <c r="E27">
        <v>27</v>
      </c>
      <c r="H27" s="4" t="s">
        <v>66</v>
      </c>
      <c r="I27" s="2">
        <v>43.416666666666664</v>
      </c>
      <c r="K27" s="4" t="s">
        <v>66</v>
      </c>
      <c r="L27" s="2">
        <v>7.5</v>
      </c>
    </row>
    <row r="28" spans="4:12" x14ac:dyDescent="0.25">
      <c r="D28" s="4" t="s">
        <v>67</v>
      </c>
      <c r="E28">
        <v>32</v>
      </c>
      <c r="H28" s="4" t="s">
        <v>67</v>
      </c>
      <c r="I28" s="2">
        <v>36.357142857142854</v>
      </c>
      <c r="K28" s="4" t="s">
        <v>67</v>
      </c>
      <c r="L28" s="2">
        <v>5.2857142857142856</v>
      </c>
    </row>
    <row r="29" spans="4:12" x14ac:dyDescent="0.25">
      <c r="D29" s="4" t="s">
        <v>68</v>
      </c>
      <c r="E29">
        <v>33</v>
      </c>
      <c r="H29" s="4" t="s">
        <v>68</v>
      </c>
      <c r="I29" s="2">
        <v>40.611111111111114</v>
      </c>
      <c r="K29" s="4" t="s">
        <v>68</v>
      </c>
      <c r="L29" s="2">
        <v>2.875</v>
      </c>
    </row>
    <row r="30" spans="4:12" x14ac:dyDescent="0.25">
      <c r="D30" s="4" t="s">
        <v>69</v>
      </c>
      <c r="E30">
        <v>34</v>
      </c>
      <c r="H30" s="4" t="s">
        <v>69</v>
      </c>
      <c r="I30" s="2">
        <v>29.875</v>
      </c>
      <c r="K30" s="4" t="s">
        <v>69</v>
      </c>
      <c r="L30" s="2">
        <v>6.25</v>
      </c>
    </row>
    <row r="31" spans="4:12" x14ac:dyDescent="0.25">
      <c r="D31" s="4" t="s">
        <v>70</v>
      </c>
      <c r="E31">
        <v>35</v>
      </c>
      <c r="H31" s="4" t="s">
        <v>70</v>
      </c>
      <c r="I31" s="2">
        <v>33.5</v>
      </c>
      <c r="K31" s="4" t="s">
        <v>70</v>
      </c>
      <c r="L31" s="2">
        <v>6.125</v>
      </c>
    </row>
    <row r="32" spans="4:12" x14ac:dyDescent="0.25">
      <c r="D32" s="4" t="s">
        <v>71</v>
      </c>
      <c r="E32">
        <v>32</v>
      </c>
      <c r="H32" s="4" t="s">
        <v>71</v>
      </c>
      <c r="I32" s="2">
        <v>32.5625</v>
      </c>
      <c r="K32" s="4" t="s">
        <v>71</v>
      </c>
      <c r="L32" s="2">
        <v>5.75</v>
      </c>
    </row>
    <row r="33" spans="1:12" x14ac:dyDescent="0.25">
      <c r="D33" s="4" t="s">
        <v>72</v>
      </c>
      <c r="E33">
        <v>27</v>
      </c>
      <c r="H33" s="4" t="s">
        <v>72</v>
      </c>
      <c r="I33" s="2">
        <v>38.571428571428569</v>
      </c>
      <c r="K33" s="4" t="s">
        <v>72</v>
      </c>
      <c r="L33" s="2">
        <v>5.375</v>
      </c>
    </row>
    <row r="34" spans="1:12" x14ac:dyDescent="0.25">
      <c r="D34" s="4" t="s">
        <v>73</v>
      </c>
      <c r="E34">
        <v>30</v>
      </c>
      <c r="H34" s="4" t="s">
        <v>73</v>
      </c>
      <c r="I34" s="2">
        <v>32.714285714285715</v>
      </c>
      <c r="K34" s="4" t="s">
        <v>73</v>
      </c>
      <c r="L34" s="2">
        <v>5.6</v>
      </c>
    </row>
    <row r="35" spans="1:12" x14ac:dyDescent="0.25">
      <c r="D35" s="4" t="s">
        <v>6</v>
      </c>
      <c r="E35">
        <v>948</v>
      </c>
      <c r="H35" s="4" t="s">
        <v>6</v>
      </c>
      <c r="I35" s="2">
        <v>34.90187891440501</v>
      </c>
      <c r="K35" s="4" t="s">
        <v>6</v>
      </c>
      <c r="L35" s="2">
        <v>5.3034482758620687</v>
      </c>
    </row>
    <row r="37" spans="1:12" x14ac:dyDescent="0.25">
      <c r="A37" s="10" t="s">
        <v>17</v>
      </c>
      <c r="B37" s="10" t="s">
        <v>18</v>
      </c>
      <c r="C37" s="10" t="s">
        <v>19</v>
      </c>
      <c r="D37" s="9"/>
    </row>
    <row r="38" spans="1:12" ht="14.25" customHeight="1" x14ac:dyDescent="0.25">
      <c r="A38" s="11" t="str">
        <f>A15</f>
        <v>Not Admitted</v>
      </c>
      <c r="B38" s="11">
        <f>B15</f>
        <v>242</v>
      </c>
      <c r="C38" s="12">
        <f>C15</f>
        <v>0.50521920668058451</v>
      </c>
      <c r="D38" s="9"/>
    </row>
    <row r="39" spans="1:12" ht="26.25" customHeight="1" x14ac:dyDescent="0.25">
      <c r="A39" s="11" t="str">
        <f>A14</f>
        <v>Admitted</v>
      </c>
      <c r="B39" s="11">
        <f>B14</f>
        <v>237</v>
      </c>
      <c r="C39" s="12">
        <f>C14</f>
        <v>0.49478079331941544</v>
      </c>
      <c r="D39" s="9"/>
    </row>
    <row r="41" spans="1:12" x14ac:dyDescent="0.25">
      <c r="A41" s="1" t="s">
        <v>5</v>
      </c>
      <c r="B41" t="s">
        <v>20</v>
      </c>
    </row>
    <row r="42" spans="1:12" x14ac:dyDescent="0.25">
      <c r="A42" s="4" t="s">
        <v>21</v>
      </c>
      <c r="B42" s="5">
        <v>58</v>
      </c>
    </row>
    <row r="43" spans="1:12" x14ac:dyDescent="0.25">
      <c r="A43" s="4" t="s">
        <v>22</v>
      </c>
      <c r="B43" s="5">
        <v>75</v>
      </c>
    </row>
    <row r="44" spans="1:12" x14ac:dyDescent="0.25">
      <c r="A44" s="4" t="s">
        <v>23</v>
      </c>
      <c r="B44" s="5">
        <v>61</v>
      </c>
    </row>
    <row r="45" spans="1:12" x14ac:dyDescent="0.25">
      <c r="A45" s="4" t="s">
        <v>24</v>
      </c>
      <c r="B45" s="5">
        <v>60</v>
      </c>
    </row>
    <row r="46" spans="1:12" x14ac:dyDescent="0.25">
      <c r="A46" s="4" t="s">
        <v>25</v>
      </c>
      <c r="B46" s="5">
        <v>43</v>
      </c>
    </row>
    <row r="47" spans="1:12" x14ac:dyDescent="0.25">
      <c r="A47" s="4" t="s">
        <v>26</v>
      </c>
      <c r="B47" s="5">
        <v>54</v>
      </c>
    </row>
    <row r="48" spans="1:12" x14ac:dyDescent="0.25">
      <c r="A48" s="4" t="s">
        <v>27</v>
      </c>
      <c r="B48" s="5">
        <v>66</v>
      </c>
    </row>
    <row r="49" spans="1:2" x14ac:dyDescent="0.25">
      <c r="A49" s="4" t="s">
        <v>28</v>
      </c>
      <c r="B49" s="5">
        <v>62</v>
      </c>
    </row>
    <row r="50" spans="1:2" x14ac:dyDescent="0.25">
      <c r="A50" s="4" t="s">
        <v>6</v>
      </c>
      <c r="B50" s="5">
        <v>479</v>
      </c>
    </row>
    <row r="52" spans="1:2" x14ac:dyDescent="0.25">
      <c r="A52" s="1" t="s">
        <v>5</v>
      </c>
      <c r="B52" t="s">
        <v>0</v>
      </c>
    </row>
    <row r="53" spans="1:2" x14ac:dyDescent="0.25">
      <c r="A53" s="4" t="s">
        <v>29</v>
      </c>
      <c r="B53" s="2">
        <v>273</v>
      </c>
    </row>
    <row r="54" spans="1:2" x14ac:dyDescent="0.25">
      <c r="A54" s="4" t="s">
        <v>30</v>
      </c>
      <c r="B54" s="2">
        <v>206</v>
      </c>
    </row>
    <row r="55" spans="1:2" x14ac:dyDescent="0.25">
      <c r="A55" s="4" t="s">
        <v>6</v>
      </c>
      <c r="B55" s="5">
        <v>479</v>
      </c>
    </row>
    <row r="57" spans="1:2" x14ac:dyDescent="0.25">
      <c r="A57" s="1" t="s">
        <v>5</v>
      </c>
      <c r="B57" t="s">
        <v>0</v>
      </c>
    </row>
    <row r="58" spans="1:2" x14ac:dyDescent="0.25">
      <c r="A58" s="4" t="s">
        <v>31</v>
      </c>
      <c r="B58" s="5">
        <v>235</v>
      </c>
    </row>
    <row r="59" spans="1:2" x14ac:dyDescent="0.25">
      <c r="A59" s="4" t="s">
        <v>32</v>
      </c>
      <c r="B59" s="5">
        <v>244</v>
      </c>
    </row>
    <row r="60" spans="1:2" x14ac:dyDescent="0.25">
      <c r="A60" s="4" t="s">
        <v>6</v>
      </c>
      <c r="B60" s="5">
        <v>479</v>
      </c>
    </row>
    <row r="62" spans="1:2" x14ac:dyDescent="0.25">
      <c r="A62" s="1" t="s">
        <v>5</v>
      </c>
      <c r="B62" t="s">
        <v>41</v>
      </c>
    </row>
    <row r="63" spans="1:2" x14ac:dyDescent="0.25">
      <c r="A63" s="4" t="s">
        <v>40</v>
      </c>
      <c r="B63" s="5">
        <v>4</v>
      </c>
    </row>
    <row r="64" spans="1:2" x14ac:dyDescent="0.25">
      <c r="A64" s="4" t="s">
        <v>36</v>
      </c>
      <c r="B64" s="5">
        <v>11</v>
      </c>
    </row>
    <row r="65" spans="1:3" x14ac:dyDescent="0.25">
      <c r="A65" s="4" t="s">
        <v>39</v>
      </c>
      <c r="B65" s="5">
        <v>11</v>
      </c>
    </row>
    <row r="66" spans="1:3" x14ac:dyDescent="0.25">
      <c r="A66" s="4" t="s">
        <v>34</v>
      </c>
      <c r="B66" s="5">
        <v>12</v>
      </c>
    </row>
    <row r="67" spans="1:3" x14ac:dyDescent="0.25">
      <c r="A67" s="4" t="s">
        <v>33</v>
      </c>
      <c r="B67" s="5">
        <v>18</v>
      </c>
    </row>
    <row r="68" spans="1:3" x14ac:dyDescent="0.25">
      <c r="A68" s="4" t="s">
        <v>38</v>
      </c>
      <c r="B68" s="5">
        <v>45</v>
      </c>
    </row>
    <row r="69" spans="1:3" x14ac:dyDescent="0.25">
      <c r="A69" s="4" t="s">
        <v>35</v>
      </c>
      <c r="B69" s="5">
        <v>115</v>
      </c>
    </row>
    <row r="70" spans="1:3" x14ac:dyDescent="0.25">
      <c r="A70" s="4" t="s">
        <v>37</v>
      </c>
      <c r="B70" s="5">
        <v>263</v>
      </c>
    </row>
    <row r="71" spans="1:3" x14ac:dyDescent="0.25">
      <c r="A71" s="4" t="s">
        <v>6</v>
      </c>
      <c r="B71" s="5">
        <v>479</v>
      </c>
    </row>
    <row r="73" spans="1:3" x14ac:dyDescent="0.25">
      <c r="A73" s="13"/>
      <c r="B73" s="14"/>
      <c r="C73" s="15"/>
    </row>
    <row r="74" spans="1:3" x14ac:dyDescent="0.25">
      <c r="A74" s="16"/>
      <c r="B74" s="17"/>
      <c r="C74" s="18"/>
    </row>
    <row r="75" spans="1:3" x14ac:dyDescent="0.25">
      <c r="A75" s="16"/>
      <c r="B75" s="17"/>
      <c r="C75" s="18"/>
    </row>
    <row r="76" spans="1:3" x14ac:dyDescent="0.25">
      <c r="A76" s="16"/>
      <c r="B76" s="17"/>
      <c r="C76" s="18"/>
    </row>
    <row r="77" spans="1:3" x14ac:dyDescent="0.25">
      <c r="A77" s="16"/>
      <c r="B77" s="17"/>
      <c r="C77" s="18"/>
    </row>
    <row r="78" spans="1:3" x14ac:dyDescent="0.25">
      <c r="A78" s="16"/>
      <c r="B78" s="17"/>
      <c r="C78" s="18"/>
    </row>
    <row r="79" spans="1:3" x14ac:dyDescent="0.25">
      <c r="A79" s="16"/>
      <c r="B79" s="17"/>
      <c r="C79" s="18"/>
    </row>
    <row r="80" spans="1:3" x14ac:dyDescent="0.25">
      <c r="A80" s="16"/>
      <c r="B80" s="17"/>
      <c r="C80" s="18"/>
    </row>
    <row r="81" spans="1:3" x14ac:dyDescent="0.25">
      <c r="A81" s="16"/>
      <c r="B81" s="17"/>
      <c r="C81" s="18"/>
    </row>
    <row r="82" spans="1:3" x14ac:dyDescent="0.25">
      <c r="A82" s="16"/>
      <c r="B82" s="17"/>
      <c r="C82" s="18"/>
    </row>
    <row r="83" spans="1:3" x14ac:dyDescent="0.25">
      <c r="A83" s="16"/>
      <c r="B83" s="17"/>
      <c r="C83" s="18"/>
    </row>
    <row r="84" spans="1:3" x14ac:dyDescent="0.25">
      <c r="A84" s="16"/>
      <c r="B84" s="17"/>
      <c r="C84" s="18"/>
    </row>
    <row r="85" spans="1:3" x14ac:dyDescent="0.25">
      <c r="A85" s="16"/>
      <c r="B85" s="17"/>
      <c r="C85" s="18"/>
    </row>
    <row r="86" spans="1:3" x14ac:dyDescent="0.25">
      <c r="A86" s="16"/>
      <c r="B86" s="17"/>
      <c r="C86" s="18"/>
    </row>
    <row r="87" spans="1:3" x14ac:dyDescent="0.25">
      <c r="A87" s="16"/>
      <c r="B87" s="17"/>
      <c r="C87" s="18"/>
    </row>
    <row r="88" spans="1:3" x14ac:dyDescent="0.25">
      <c r="A88" s="16"/>
      <c r="B88" s="17"/>
      <c r="C88" s="18"/>
    </row>
    <row r="89" spans="1:3" x14ac:dyDescent="0.25">
      <c r="A89" s="16"/>
      <c r="B89" s="17"/>
      <c r="C89" s="18"/>
    </row>
    <row r="90" spans="1:3" x14ac:dyDescent="0.25">
      <c r="A90" s="19"/>
      <c r="B90" s="20"/>
      <c r="C90" s="21"/>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C0B6-594A-4A77-B041-73C385F0179C}">
  <dimension ref="A1:P22"/>
  <sheetViews>
    <sheetView zoomScale="146" zoomScaleNormal="130" workbookViewId="0"/>
  </sheetViews>
  <sheetFormatPr defaultRowHeight="15" x14ac:dyDescent="0.25"/>
  <cols>
    <col min="1" max="4" width="9.140625" style="3"/>
    <col min="5" max="5" width="8.42578125" style="3" customWidth="1"/>
    <col min="6" max="6" width="8.5703125" style="3" customWidth="1"/>
    <col min="7" max="13" width="9.140625" style="3"/>
    <col min="14" max="14" width="10.42578125" style="3" customWidth="1"/>
    <col min="15" max="16384" width="9.140625" style="3"/>
  </cols>
  <sheetData>
    <row r="1" spans="1:16" x14ac:dyDescent="0.25">
      <c r="A1" s="3" t="s">
        <v>43</v>
      </c>
    </row>
    <row r="6" spans="1:16" x14ac:dyDescent="0.25">
      <c r="P6" s="3" t="s">
        <v>42</v>
      </c>
    </row>
    <row r="12" spans="1:16" x14ac:dyDescent="0.25">
      <c r="P12" s="3" t="s">
        <v>42</v>
      </c>
    </row>
    <row r="21" spans="7:9" x14ac:dyDescent="0.25">
      <c r="G21" s="3" t="s">
        <v>43</v>
      </c>
      <c r="I21" s="3" t="s">
        <v>43</v>
      </c>
    </row>
    <row r="22" spans="7:9" x14ac:dyDescent="0.25">
      <c r="G22" s="3" t="s">
        <v>43</v>
      </c>
      <c r="H22" s="3" t="s">
        <v>43</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32980-F977-4BA5-B707-A86A25E2AD43}">
  <dimension ref="B18:E29"/>
  <sheetViews>
    <sheetView tabSelected="1" zoomScale="102" zoomScaleNormal="96" workbookViewId="0"/>
  </sheetViews>
  <sheetFormatPr defaultRowHeight="15" x14ac:dyDescent="0.25"/>
  <cols>
    <col min="1" max="1" width="9.5703125" style="7" customWidth="1"/>
    <col min="2" max="11" width="9.140625" style="7"/>
    <col min="12" max="12" width="9.140625" style="7" customWidth="1"/>
    <col min="13" max="14" width="9.140625" style="7"/>
    <col min="15" max="15" width="9.140625" style="7" customWidth="1"/>
    <col min="16" max="16384" width="9.140625" style="7"/>
  </cols>
  <sheetData>
    <row r="18" spans="2:5" ht="24" x14ac:dyDescent="0.4">
      <c r="B18" s="8"/>
    </row>
    <row r="26" spans="2:5" ht="24" x14ac:dyDescent="0.4">
      <c r="D26" s="8"/>
      <c r="E26" s="8"/>
    </row>
    <row r="28" spans="2:5" ht="24" x14ac:dyDescent="0.4">
      <c r="B28" s="8"/>
      <c r="D28" s="8" t="s">
        <v>9</v>
      </c>
    </row>
    <row r="29" spans="2:5" ht="24" x14ac:dyDescent="0.4">
      <c r="D29" s="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FF208-11BC-4E90-8748-950A091E63DC}">
  <dimension ref="A1:B28"/>
  <sheetViews>
    <sheetView topLeftCell="A10" zoomScale="112" zoomScaleNormal="100" workbookViewId="0"/>
  </sheetViews>
  <sheetFormatPr defaultRowHeight="15" x14ac:dyDescent="0.25"/>
  <cols>
    <col min="1" max="16384" width="9.140625" style="7"/>
  </cols>
  <sheetData>
    <row r="1" spans="1:1" x14ac:dyDescent="0.25">
      <c r="A1" s="22"/>
    </row>
    <row r="18" spans="1:2" ht="24" x14ac:dyDescent="0.4">
      <c r="B18" s="8"/>
    </row>
    <row r="26" spans="1:2" ht="21" x14ac:dyDescent="0.35">
      <c r="B26" s="23" t="s">
        <v>10</v>
      </c>
    </row>
    <row r="27" spans="1:2" ht="24" x14ac:dyDescent="0.4">
      <c r="A27" s="8"/>
      <c r="B27" s="8"/>
    </row>
    <row r="28" spans="1:2" ht="24" x14ac:dyDescent="0.4">
      <c r="B28" s="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85646-6B67-4F68-B190-B83CF4566593}">
  <dimension ref="B19:C25"/>
  <sheetViews>
    <sheetView zoomScale="117" workbookViewId="0"/>
  </sheetViews>
  <sheetFormatPr defaultRowHeight="15" x14ac:dyDescent="0.25"/>
  <cols>
    <col min="1" max="16384" width="9.140625" style="7"/>
  </cols>
  <sheetData>
    <row r="19" spans="2:3" ht="24" x14ac:dyDescent="0.4">
      <c r="B19" s="8"/>
    </row>
    <row r="25" spans="2:3" ht="21" x14ac:dyDescent="0.35">
      <c r="C25" s="23" t="s">
        <v>12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65AB6D4-D3BA-4142-9FBC-50D6F415A9F2}">
  <ds:schemaRefs/>
</ds:datastoreItem>
</file>

<file path=customXml/itemProps2.xml><?xml version="1.0" encoding="utf-8"?>
<ds:datastoreItem xmlns:ds="http://schemas.openxmlformats.org/officeDocument/2006/customXml" ds:itemID="{69153F4E-A38F-46F5-A9FD-B7FBA449E2CD}">
  <ds:schemaRefs/>
</ds:datastoreItem>
</file>

<file path=customXml/itemProps3.xml><?xml version="1.0" encoding="utf-8"?>
<ds:datastoreItem xmlns:ds="http://schemas.openxmlformats.org/officeDocument/2006/customXml" ds:itemID="{5A1CBEE6-3EF0-4CC6-AE64-163DE2F9A9CA}">
  <ds:schemaRefs/>
</ds:datastoreItem>
</file>

<file path=customXml/itemProps4.xml><?xml version="1.0" encoding="utf-8"?>
<ds:datastoreItem xmlns:ds="http://schemas.openxmlformats.org/officeDocument/2006/customXml" ds:itemID="{CB007DAD-97D7-4FDF-8285-BA2E8162E681}">
  <ds:schemaRefs/>
</ds:datastoreItem>
</file>

<file path=customXml/itemProps5.xml><?xml version="1.0" encoding="utf-8"?>
<ds:datastoreItem xmlns:ds="http://schemas.openxmlformats.org/officeDocument/2006/customXml" ds:itemID="{D0297F28-DE66-4A12-907B-CECC35B4FEB0}">
  <ds:schemaRefs/>
</ds:datastoreItem>
</file>

<file path=customXml/itemProps6.xml><?xml version="1.0" encoding="utf-8"?>
<ds:datastoreItem xmlns:ds="http://schemas.openxmlformats.org/officeDocument/2006/customXml" ds:itemID="{70C2C420-3C9F-45A8-AA89-0A945B1D333F}">
  <ds:schemaRefs/>
</ds:datastoreItem>
</file>

<file path=customXml/itemProps7.xml><?xml version="1.0" encoding="utf-8"?>
<ds:datastoreItem xmlns:ds="http://schemas.openxmlformats.org/officeDocument/2006/customXml" ds:itemID="{B8161970-DF72-4DAC-9097-080D1502C58B}">
  <ds:schemaRefs/>
</ds:datastoreItem>
</file>

<file path=customXml/itemProps8.xml><?xml version="1.0" encoding="utf-8"?>
<ds:datastoreItem xmlns:ds="http://schemas.openxmlformats.org/officeDocument/2006/customXml" ds:itemID="{7A9F57E1-66D2-4C93-B85D-3E63DE9C8783}">
  <ds:schemaRefs/>
</ds:datastoreItem>
</file>

<file path=customXml/itemProps9.xml><?xml version="1.0" encoding="utf-8"?>
<ds:datastoreItem xmlns:ds="http://schemas.openxmlformats.org/officeDocument/2006/customXml" ds:itemID="{F51FDCAD-EAFC-42F2-8E12-51549A1855EB}">
  <ds:schemaRefs/>
</ds:datastoreItem>
</file>

<file path=customXml/itemProps10.xml><?xml version="1.0" encoding="utf-8"?>
<ds:datastoreItem xmlns:ds="http://schemas.openxmlformats.org/officeDocument/2006/customXml" ds:itemID="{657DCF56-ECBC-4E6E-90D8-585FD8D4A304}">
  <ds:schemaRefs/>
</ds:datastoreItem>
</file>

<file path=customXml/itemProps11.xml><?xml version="1.0" encoding="utf-8"?>
<ds:datastoreItem xmlns:ds="http://schemas.openxmlformats.org/officeDocument/2006/customXml" ds:itemID="{3CD0BAEE-2CEE-4EB3-AB00-3F74BCDCEA0A}">
  <ds:schemaRefs/>
</ds:datastoreItem>
</file>

<file path=customXml/itemProps12.xml><?xml version="1.0" encoding="utf-8"?>
<ds:datastoreItem xmlns:ds="http://schemas.openxmlformats.org/officeDocument/2006/customXml" ds:itemID="{4EB65DD4-4C13-407A-8AB3-CBB1C12E130C}">
  <ds:schemaRefs>
    <ds:schemaRef ds:uri="http://schemas.microsoft.com/DataMashup"/>
  </ds:schemaRefs>
</ds:datastoreItem>
</file>

<file path=customXml/itemProps13.xml><?xml version="1.0" encoding="utf-8"?>
<ds:datastoreItem xmlns:ds="http://schemas.openxmlformats.org/officeDocument/2006/customXml" ds:itemID="{667F515C-CB85-4C10-8A53-72DB0CD66A99}">
  <ds:schemaRefs/>
</ds:datastoreItem>
</file>

<file path=customXml/itemProps14.xml><?xml version="1.0" encoding="utf-8"?>
<ds:datastoreItem xmlns:ds="http://schemas.openxmlformats.org/officeDocument/2006/customXml" ds:itemID="{EDACB517-172C-467C-8C3E-17A39BF97390}">
  <ds:schemaRefs/>
</ds:datastoreItem>
</file>

<file path=customXml/itemProps15.xml><?xml version="1.0" encoding="utf-8"?>
<ds:datastoreItem xmlns:ds="http://schemas.openxmlformats.org/officeDocument/2006/customXml" ds:itemID="{DAFE87F3-0B3E-4B81-A73D-90179DC029E2}">
  <ds:schemaRefs/>
</ds:datastoreItem>
</file>

<file path=customXml/itemProps16.xml><?xml version="1.0" encoding="utf-8"?>
<ds:datastoreItem xmlns:ds="http://schemas.openxmlformats.org/officeDocument/2006/customXml" ds:itemID="{D78DC144-1716-4005-9536-2B60B146F283}">
  <ds:schemaRefs/>
</ds:datastoreItem>
</file>

<file path=customXml/itemProps17.xml><?xml version="1.0" encoding="utf-8"?>
<ds:datastoreItem xmlns:ds="http://schemas.openxmlformats.org/officeDocument/2006/customXml" ds:itemID="{7AC3C967-E78A-4192-BD9B-84D0F2C29E7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Trend No. of Patient</vt:lpstr>
      <vt:lpstr>Daily Trend Average Wait Time</vt:lpstr>
      <vt:lpstr>Daily Trend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a13500</dc:creator>
  <cp:lastModifiedBy>a13500</cp:lastModifiedBy>
  <dcterms:created xsi:type="dcterms:W3CDTF">2026-04-14T13:34:39Z</dcterms:created>
  <dcterms:modified xsi:type="dcterms:W3CDTF">2026-04-18T07:17:12Z</dcterms:modified>
</cp:coreProperties>
</file>